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odels\KENTIMGE\"/>
    </mc:Choice>
  </mc:AlternateContent>
  <xr:revisionPtr revIDLastSave="0" documentId="13_ncr:1_{8D23EC79-A327-48BA-9E1F-C1E71D5562F4}" xr6:coauthVersionLast="47" xr6:coauthVersionMax="47" xr10:uidLastSave="{00000000-0000-0000-0000-000000000000}"/>
  <bookViews>
    <workbookView xWindow="-3525" yWindow="-17430" windowWidth="28770" windowHeight="15600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Scenarios!$A$9:$BH$42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19921" r:id="rId9"/>
    <pivotCache cacheId="19922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8" i="4" l="1"/>
  <c r="C20" i="4" l="1"/>
  <c r="C18" i="4"/>
  <c r="A6" i="33" l="1"/>
  <c r="T2" i="33"/>
  <c r="T3" i="33"/>
  <c r="T4" i="33"/>
  <c r="T1" i="33"/>
  <c r="L6" i="33" l="1"/>
  <c r="M6" i="33"/>
  <c r="K6" i="33"/>
  <c r="L5" i="33"/>
  <c r="M5" i="33"/>
  <c r="K5" i="33"/>
  <c r="C22" i="4" l="1"/>
  <c r="C15" i="4"/>
  <c r="C14" i="4"/>
  <c r="B1" i="33" a="1"/>
  <c r="B1" i="33" s="1"/>
  <c r="C21" i="4"/>
  <c r="C10" i="4"/>
  <c r="AE7" i="5"/>
  <c r="AE8" i="5" s="1"/>
  <c r="AE9" i="5" s="1"/>
  <c r="AE10" i="5" s="1"/>
  <c r="AE11" i="5" s="1"/>
  <c r="AE12" i="5" s="1"/>
  <c r="AE13" i="5" s="1"/>
  <c r="C9" i="4"/>
  <c r="C13" i="4"/>
  <c r="C19" i="4"/>
  <c r="C17" i="4"/>
  <c r="C16" i="4"/>
  <c r="C12" i="4"/>
  <c r="C11" i="4"/>
  <c r="C7" i="4"/>
  <c r="S9" i="33"/>
  <c r="T9" i="33" s="1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tc={2E057A1D-61F2-468B-8278-F722F83FC647}</author>
    <author>tc={6DC6F051-76B1-486C-98FF-EFB7541365C7}</author>
  </authors>
  <commentList>
    <comment ref="D10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" authorId="1" shapeId="0" xr:uid="{2E057A1D-61F2-468B-8278-F722F83FC64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2" authorId="2" shapeId="0" xr:uid="{6DC6F051-76B1-486C-98FF-EFB7541365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<sst xmlns="http://schemas.openxmlformats.org/spreadsheetml/2006/main" count="191" uniqueCount="141">
  <si>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</si>
  <si>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</si>
  <si>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</si>
  <si>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</si>
  <si>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</si>
  <si>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</si>
  <si>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</si>
  <si>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</si>
  <si>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</si>
  <si>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</si>
  <si>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</si>
  <si>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</si>
  <si>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</si>
  <si>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</si>
  <si>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</si>
  <si>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</si>
  <si>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</si>
  <si>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</si>
  <si>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</si>
  <si>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</si>
  <si>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</si>
  <si>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</si>
  <si>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</si>
  <si>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</si>
  <si>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</si>
  <si>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</si>
  <si>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</si>
  <si>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</si>
  <si>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</si>
  <si>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</si>
  <si>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</si>
  <si>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</si>
  <si>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</si>
  <si>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</si>
  <si>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</si>
  <si>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</si>
  <si>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</si>
  <si>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</si>
  <si>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</si>
  <si>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</si>
  <si>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</si>
  <si>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</si>
  <si>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</si>
  <si>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</si>
  <si>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</si>
  <si>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</si>
  <si>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</si>
  <si>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</si>
  <si>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</si>
  <si>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</si>
  <si>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</si>
  <si>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</si>
  <si>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</si>
  <si>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</si>
  <si>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</si>
  <si>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</si>
  <si>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</si>
  <si>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SIM_ESAGE</t>
  </si>
  <si>
    <t>Number of iterations with CGE</t>
  </si>
  <si>
    <t>Active sims</t>
  </si>
  <si>
    <t>XC</t>
  </si>
  <si>
    <t>Map RUN eSAGE sim (MRUNX)</t>
  </si>
  <si>
    <t>PAMS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</si>
  <si>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</si>
  <si>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</si>
  <si>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</si>
  <si>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</si>
  <si>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</si>
  <si>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</si>
  <si>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</si>
  <si>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</si>
  <si>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</si>
  <si>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</si>
  <si>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</si>
  <si>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</si>
  <si>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</si>
  <si>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</si>
  <si>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yes tested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</si>
  <si>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</si>
  <si>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</si>
  <si>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</si>
  <si>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</si>
  <si>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</si>
  <si>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</si>
  <si>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</si>
  <si>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</si>
  <si>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</si>
  <si>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</si>
  <si>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</si>
  <si>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</si>
  <si>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NDC</t>
  </si>
  <si>
    <t>IFPRI #6</t>
  </si>
  <si>
    <t>Nuclear NERSA</t>
  </si>
  <si>
    <t>Coal IPP</t>
  </si>
  <si>
    <t>NetZero</t>
  </si>
  <si>
    <t>P4C</t>
  </si>
  <si>
    <t>SAREM</t>
  </si>
  <si>
    <t>included runs</t>
  </si>
  <si>
    <t>Name Check</t>
  </si>
  <si>
    <t>Eskom</t>
  </si>
  <si>
    <t>CCG paper</t>
  </si>
  <si>
    <t>NZ_nopams_45afolu</t>
  </si>
  <si>
    <t>NZ_nopams_20afolu</t>
  </si>
  <si>
    <t>NZ_pams_45</t>
  </si>
  <si>
    <t>NZ_pams_20</t>
  </si>
  <si>
    <t>F</t>
  </si>
  <si>
    <t>TTIMES</t>
  </si>
  <si>
    <t>Reference</t>
  </si>
  <si>
    <t>Configured in TIMES?</t>
  </si>
  <si>
    <t>BASE</t>
  </si>
  <si>
    <t>SATIM\-&gt;GHATIM\</t>
  </si>
  <si>
    <t>GHATIM.gms</t>
  </si>
  <si>
    <t>Search and Replace</t>
  </si>
  <si>
    <t>GHATIM.xlsm</t>
  </si>
  <si>
    <t>cge\includes\2energychecksinit.inc</t>
  </si>
  <si>
    <t>cge\includes\2energyinit.inc</t>
  </si>
  <si>
    <t>cge\includes\2energychecks.inc</t>
  </si>
  <si>
    <t>cge\includes\2energyfcast.inc</t>
  </si>
  <si>
    <t>cge\includes\BudgetShare_Recalc.inc</t>
  </si>
  <si>
    <t>cge\includes\EnergyGoodsBudgetAllocation.inc</t>
  </si>
  <si>
    <t>cge\includes\eSAGE_Report.inc</t>
  </si>
  <si>
    <t>Copy Files</t>
  </si>
  <si>
    <t>Add Technology and commodity names to SetsandMaps, check mapping sets in SetsAndMapa\SetsAndMaps.xlsm</t>
  </si>
  <si>
    <t>\SATIM-&gt;\GHATIM</t>
  </si>
  <si>
    <t>FSATIM-&gt;FSeMOD</t>
  </si>
  <si>
    <t>SATIM-&gt;eMOD</t>
  </si>
  <si>
    <t>eMODCASES</t>
  </si>
  <si>
    <t>SIM_eMOD</t>
  </si>
  <si>
    <t>Rerun TIMES? (SIM_eMOD)</t>
  </si>
  <si>
    <t>Map RUN eMOD Case (MRUNCASE)</t>
  </si>
  <si>
    <t>eMOD Active</t>
  </si>
  <si>
    <t>eMOD (TIMES) Case</t>
  </si>
  <si>
    <t>cge\includes\initialize.inc</t>
  </si>
  <si>
    <t>cge\includes\results.inc</t>
  </si>
  <si>
    <t>EmissionFactors.xlsx</t>
  </si>
  <si>
    <t>Copy RUNTIMES.cmd, RUNTIMES2.CMD and check for GHATIM</t>
  </si>
  <si>
    <t>Supply links</t>
  </si>
  <si>
    <t>Do demand links</t>
  </si>
  <si>
    <t>Check ifa x iva x wf against Fintensity</t>
  </si>
  <si>
    <t>Check icas</t>
  </si>
  <si>
    <t>In 1model.gms - change QVA0 calc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</si>
</sst>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37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6">
    <xf numFmtId="0" fontId="0" fillId="0" borderId="0" xfId="0"/>
    <xf numFmtId="0" fontId="3" fillId="0" borderId="1" xfId="0" applyFont="1" applyBorder="1"/>
    <xf numFmtId="0" fontId="3" fillId="0" borderId="0" xfId="0" applyFont="1"/>
    <xf numFmtId="0" fontId="0" fillId="0" borderId="0" xfId="0" applyNumberForma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0" fillId="0" borderId="0" xfId="0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0" fillId="0" borderId="0" xfId="0" applyAlignment="1">
      <alignment horizontal="right"/>
    </xf>
    <xf numFmtId="0" fontId="0" fillId="0" borderId="0" xfId="0" applyFont="1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6" fillId="2" borderId="4" xfId="86" applyAlignment="1">
      <alignment horizontal="left" vertical="top"/>
    </xf>
    <xf numFmtId="0" fontId="0" fillId="13" borderId="0" xfId="0" applyFill="1"/>
    <xf numFmtId="0" fontId="0" fillId="0" borderId="0" xfId="0" applyFont="1"/>
    <xf numFmtId="0" fontId="3" fillId="12" borderId="0" xfId="0" applyFont="1" applyFill="1" applyAlignment="1">
      <alignment horizontal="center" wrapText="1"/>
    </xf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848.600464120369" createdVersion="6" refreshedVersion="8" minRefreshableVersion="3" recordCount="48" xr:uid="{C0EB43E8-6CC6-4DE4-B7F1-02B09F7BA69A}">
  <cacheSource type="worksheet">
    <worksheetSource ref="A9:P90" sheet="Scenarios"/>
  </cacheSource>
  <cacheFields count="16">
    <cacheField name="Include in Batch?" numFmtId="0">
      <sharedItems containsString="0" containsBlank="1" containsNumber="1" containsInteger="1" minValue="1" maxValue="1"/>
    </cacheField>
    <cacheField name="Scenario (RUN)" numFmtId="0">
      <sharedItems containsBlank="1" containsMixedTypes="1" containsNumber="1" containsInteger="1" minValue="0" maxValue="0" count="3">
        <s v="Reference"/>
        <m/>
        <n v="0" u="1"/>
      </sharedItems>
    </cacheField>
    <cacheField name="Configured in TIMES?" numFmtId="0">
      <sharedItems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eMOD (TIMES) Case" numFmtId="0">
      <sharedItems containsBlank="1" count="2">
        <s v="BASE"/>
        <m/>
      </sharedItems>
    </cacheField>
    <cacheField name="Rerun TIMES?" numFmtId="0">
      <sharedItems containsString="0" containsBlank="1" containsNumber="1" containsInteger="1" minValue="0" maxValue="0"/>
    </cacheField>
    <cacheField name="Link to CGE?" numFmtId="0">
      <sharedItems containsString="0" containsBlank="1" containsNumber="1" containsInteger="1" minValue="0" maxValue="0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0"/>
    </cacheField>
    <cacheField name="Link to AFOLU?" numFmtId="0">
      <sharedItems containsString="0" containsBlank="1" containsNumber="1" containsInteger="1" minValue="0" maxValue="0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848.600469212965" createdVersion="6" refreshedVersion="8" minRefreshableVersion="3" recordCount="48" xr:uid="{D229C3DF-142A-4D15-BB2C-2EA205AB0203}">
  <cacheSource type="worksheet">
    <worksheetSource ref="A9:P91" sheet="Scenarios"/>
  </cacheSource>
  <cacheFields count="16">
    <cacheField name="Include in Batch?" numFmtId="0">
      <sharedItems containsString="0" containsBlank="1" containsNumber="1" containsInteger="1" minValue="1" maxValue="1"/>
    </cacheField>
    <cacheField name="Scenario (RUN)" numFmtId="0">
      <sharedItems containsBlank="1" containsMixedTypes="1" containsNumber="1" containsInteger="1" minValue="0" maxValue="0" count="3">
        <s v="Reference"/>
        <m/>
        <n v="0" u="1"/>
      </sharedItems>
    </cacheField>
    <cacheField name="Configured in TIMES?" numFmtId="0">
      <sharedItems containsBlank="1"/>
    </cacheField>
    <cacheField name="eSAGE (CGE) sim" numFmtId="0">
      <sharedItems containsBlank="1"/>
    </cacheField>
    <cacheField name="eMOD (TIMES) Case" numFmtId="0">
      <sharedItems containsBlank="1"/>
    </cacheField>
    <cacheField name="Rerun TIMES?" numFmtId="0">
      <sharedItems containsString="0" containsBlank="1" containsNumber="1" containsInteger="1" minValue="0" maxValue="0"/>
    </cacheField>
    <cacheField name="Link to CGE?" numFmtId="0">
      <sharedItems containsString="0" containsBlank="1" containsNumber="1" containsInteger="1" minValue="0" maxValue="0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0"/>
    </cacheField>
    <cacheField name="Link to AFOLU?" numFmtId="0">
      <sharedItems containsString="0" containsBlank="1" containsNumber="1" containsInteger="1" minValue="0" maxValue="0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">
  <r>
    <n v="1"/>
    <x v="0"/>
    <s v="yes tested"/>
    <x v="0"/>
    <x v="0"/>
    <n v="0"/>
    <n v="0"/>
    <s v="No Pams"/>
    <n v="0"/>
    <n v="0"/>
    <n v="-1"/>
    <n v="-1"/>
    <n v="-1"/>
    <n v="1"/>
    <n v="-1"/>
    <n v="100"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">
  <r>
    <n v="1"/>
    <x v="0"/>
    <s v="yes tested"/>
    <s v="base"/>
    <s v="BASE"/>
    <n v="0"/>
    <n v="0"/>
    <s v="No Pams"/>
    <n v="0"/>
    <n v="0"/>
    <n v="-1"/>
    <n v="-1"/>
    <n v="-1"/>
    <n v="1"/>
    <n v="-1"/>
    <n v="100"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FA4F82-FEF5-4C88-AAAE-AA4FBD88A817}" name="PivotTable3" cacheId="1992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B6:B7" firstHeaderRow="1" firstDataRow="1" firstDataCol="1"/>
  <pivotFields count="16">
    <pivotField showAll="0"/>
    <pivotField showAll="0"/>
    <pivotField showAll="0"/>
    <pivotField showAll="0"/>
    <pivotField axis="axisRow" showAll="0">
      <items count="3">
        <item x="0"/>
        <item h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1">
    <i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1992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I6:J7" firstHeaderRow="1" firstDataRow="1" firstDataCol="1"/>
  <pivotFields count="16">
    <pivotField showAll="0"/>
    <pivotField axis="axisRow" showAll="0">
      <items count="4">
        <item h="1" x="1"/>
        <item h="1" m="1" x="2"/>
        <item x="0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">
    <i>
      <x v="2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1992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K6:L7" firstHeaderRow="1" firstDataRow="1" firstDataCol="1"/>
  <pivotFields count="16">
    <pivotField showAll="0"/>
    <pivotField axis="axisRow" showAll="0">
      <items count="4">
        <item h="1" x="1"/>
        <item m="1"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">
    <i>
      <x v="2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1992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M6:N7" firstHeaderRow="1" firstDataRow="1" firstDataCol="1"/>
  <pivotFields count="16">
    <pivotField showAll="0"/>
    <pivotField axis="axisRow" showAll="0">
      <items count="4">
        <item h="1" x="1"/>
        <item h="1" m="1"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">
    <i>
      <x v="2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1992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D6:D7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2"/>
        <item h="1"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1">
    <i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19921" applyNumberFormats="0" applyBorderFormats="0" applyFontFormats="0" applyPatternFormats="0" applyAlignmentFormats="0" applyWidthHeightFormats="1" dataCaption="Values" showMissing="0" updatedVersion="8" minRefreshableVersion="3" useAutoFormatting="1" rowGrandTotals="0" colGrandTotals="0" itemPrintTitles="1" createdVersion="6" indent="0" outline="1" outlineData="1" multipleFieldFilters="0">
  <location ref="E6:F7" firstHeaderRow="1" firstDataRow="1" firstDataCol="1"/>
  <pivotFields count="16">
    <pivotField dataField="1" showAll="0"/>
    <pivotField axis="axisRow" showAll="0">
      <items count="4">
        <item h="1" x="1"/>
        <item h="1" m="1"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">
    <i>
      <x v="2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1992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G6:H7" firstHeaderRow="1" firstDataRow="1" firstDataCol="1"/>
  <pivotFields count="16">
    <pivotField showAll="0"/>
    <pivotField axis="axisRow" showAll="0">
      <items count="4">
        <item h="1" x="1"/>
        <item m="1" x="2"/>
        <item x="0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">
    <i>
      <x v="2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19922" applyNumberFormats="0" applyBorderFormats="0" applyFontFormats="0" applyPatternFormats="0" applyAlignmentFormats="0" applyWidthHeightFormats="1" dataCaption="Values" missingCaption="&quot;&quot;" updatedVersion="8" minRefreshableVersion="3" useAutoFormatting="1" rowGrandTotals="0" colGrandTotals="0" itemPrintTitles="1" createdVersion="6" indent="0" outline="1" outlineData="1" multipleFieldFilters="0">
  <location ref="A6:A7" firstHeaderRow="1" firstDataRow="1" firstDataCol="1"/>
  <pivotFields count="16">
    <pivotField showAll="0"/>
    <pivotField axis="axisRow" showAll="0">
      <items count="4">
        <item m="1" x="2"/>
        <item h="1"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"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1992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A6:AB7" firstHeaderRow="1" firstDataRow="1" firstDataCol="1"/>
  <pivotFields count="16">
    <pivotField showAll="0"/>
    <pivotField axis="axisRow" showAll="0">
      <items count="4">
        <item h="1" x="1"/>
        <item h="1" m="1"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1">
    <i>
      <x v="2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1992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Q6:R7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h="1" x="1"/>
        <item h="1"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1">
    <i>
      <x v="2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1992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S6:X7" firstHeaderRow="0" firstDataRow="1" firstDataCol="1"/>
  <pivotFields count="16">
    <pivotField showAll="0"/>
    <pivotField axis="axisRow" showAll="0">
      <items count="4">
        <item h="1" x="1"/>
        <item h="1" m="1"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1">
    <i>
      <x v="2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1992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O6:P7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h="1" x="1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1">
    <i>
      <x v="2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0" dT="2020-08-07T12:32:29.60" personId="{8A307EF1-062C-4DD1-801F-D45833AE4B68}" id="{83CA511A-FBD5-43F7-B8F0-E5362C3DCE52}">
    <text>Note that there is still a problem running with other cases here - still looking into it.</text>
  </threadedComment>
  <threadedComment ref="D11" dT="2020-08-07T12:32:29.60" personId="{8A307EF1-062C-4DD1-801F-D45833AE4B68}" id="{2E057A1D-61F2-468B-8278-F722F83FC647}">
    <text>Note that there is still a problem running with other cases here - still looking into it.</text>
  </threadedComment>
  <threadedComment ref="D42" dT="2020-08-07T12:32:29.60" personId="{8A307EF1-062C-4DD1-801F-D45833AE4B68}" id="{6DC6F051-76B1-486C-98FF-EFB7541365C7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2"/>
  <sheetViews>
    <sheetView workbookViewId="0">
      <selection activeCell="C9" sqref="C9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126</v>
      </c>
      <c r="C8" t="str">
        <f>"Sets!"&amp;ADDRESS(ROW(Sets!B7),COLUMN(Sets!B7),4)</f>
        <v>Sets!B7</v>
      </c>
      <c r="D8">
        <v>1</v>
      </c>
    </row>
    <row r="9" spans="1:11">
      <c r="A9" s="7" t="s">
        <v>3</v>
      </c>
      <c r="B9" s="7" t="s">
        <v>55</v>
      </c>
      <c r="C9" s="7" t="str">
        <f>"Sets!"&amp;ADDRESS(ROW(Sets!C7),COLUMN(Sets!C7),4)</f>
        <v>Sets!C7</v>
      </c>
      <c r="D9" s="7">
        <v>1</v>
      </c>
      <c r="E9" s="7"/>
    </row>
    <row r="10" spans="1:11" s="7" customFormat="1">
      <c r="A10" s="7" t="s">
        <v>4</v>
      </c>
      <c r="B10" s="7" t="s">
        <v>60</v>
      </c>
      <c r="C10" s="7" t="str">
        <f>"Sets!"&amp;ADDRESS(ROW(Sets!D7),COLUMN(Sets!D7),4)</f>
        <v>Sets!D7</v>
      </c>
      <c r="D10" s="7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 s="7" customFormat="1">
      <c r="A12" s="7" t="s">
        <v>2</v>
      </c>
      <c r="B12" s="7" t="s">
        <v>127</v>
      </c>
      <c r="C12" s="7" t="str">
        <f>"Sets!"&amp;ADDRESS(ROW(Sets!G7),COLUMN(Sets!G7),4)</f>
        <v>Sets!G7</v>
      </c>
      <c r="D12" s="7">
        <v>1</v>
      </c>
    </row>
    <row r="13" spans="1:11" s="7" customFormat="1">
      <c r="A13" s="7" t="s">
        <v>2</v>
      </c>
      <c r="B13" s="7" t="s">
        <v>57</v>
      </c>
      <c r="C13" s="7" t="str">
        <f>"Sets!"&amp;ADDRESS(ROW(Sets!I7),COLUMN(Sets!I7),4)</f>
        <v>Sets!I7</v>
      </c>
      <c r="D13" s="7">
        <v>1</v>
      </c>
    </row>
    <row r="14" spans="1:11" s="7" customFormat="1">
      <c r="A14" s="7" t="s">
        <v>2</v>
      </c>
      <c r="B14" s="7" t="s">
        <v>84</v>
      </c>
      <c r="C14" s="7" t="str">
        <f>"Sets!"&amp;ADDRESS(ROW(Sets!K7),COLUMN(Sets!K7),4)</f>
        <v>Sets!K7</v>
      </c>
      <c r="D14" s="7">
        <v>1</v>
      </c>
    </row>
    <row r="15" spans="1:11" s="7" customFormat="1">
      <c r="A15" s="7" t="s">
        <v>2</v>
      </c>
      <c r="B15" s="7" t="s">
        <v>85</v>
      </c>
      <c r="C15" s="7" t="str">
        <f>"Sets!"&amp;ADDRESS(ROW(Sets!M7),COLUMN(Sets!M7),4)</f>
        <v>Sets!M7</v>
      </c>
      <c r="D15" s="7">
        <v>1</v>
      </c>
    </row>
    <row r="16" spans="1:11" s="7" customFormat="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  <c r="E16"/>
    </row>
    <row r="17" spans="1:6">
      <c r="A17" s="7" t="s">
        <v>4</v>
      </c>
      <c r="B17" s="7" t="s">
        <v>56</v>
      </c>
      <c r="C17" s="7" t="str">
        <f>"Sets!"&amp;ADDRESS(ROW(Sets!Q7),COLUMN(Sets!Q7),4)</f>
        <v>Sets!Q7</v>
      </c>
      <c r="D17" s="7">
        <v>2</v>
      </c>
      <c r="E17" s="7"/>
      <c r="F17" s="7"/>
    </row>
    <row r="18" spans="1:6">
      <c r="A18" s="7" t="s">
        <v>3</v>
      </c>
      <c r="B18" s="7" t="s">
        <v>52</v>
      </c>
      <c r="C18" s="7" t="str">
        <f>"Sets!"&amp;ADDRESS(ROW(Sets!AD7),COLUMN(Sets!AD7),4)</f>
        <v>Sets!AD7</v>
      </c>
      <c r="D18" s="7">
        <v>1</v>
      </c>
    </row>
    <row r="19" spans="1:6">
      <c r="A19" s="7" t="s">
        <v>3</v>
      </c>
      <c r="B19" s="7" t="s">
        <v>53</v>
      </c>
      <c r="C19" s="7" t="str">
        <f>"Sets!"&amp;ADDRESS(ROW(Sets!AE7),COLUMN(Sets!AE7),4)</f>
        <v>Sets!AE7</v>
      </c>
      <c r="D19" s="7">
        <v>1</v>
      </c>
      <c r="E19" s="7"/>
    </row>
    <row r="20" spans="1:6" s="7" customFormat="1">
      <c r="A20" s="7" t="s">
        <v>3</v>
      </c>
      <c r="B20" s="7" t="s">
        <v>106</v>
      </c>
      <c r="C20" s="7" t="str">
        <f>"Sets!"&amp;ADDRESS(ROW(Sets!AF7),COLUMN(Sets!AF7),4)</f>
        <v>Sets!AF7</v>
      </c>
      <c r="D20" s="7">
        <v>1</v>
      </c>
    </row>
    <row r="21" spans="1:6">
      <c r="A21" t="s">
        <v>2</v>
      </c>
      <c r="B21" t="s">
        <v>62</v>
      </c>
      <c r="C21" t="str">
        <f>"Sets!"&amp;ADDRESS(ROW(Sets!S6),COLUMN(Sets!S6),4)</f>
        <v>Sets!S6</v>
      </c>
      <c r="D21">
        <v>1</v>
      </c>
      <c r="E21">
        <v>1</v>
      </c>
    </row>
    <row r="22" spans="1:6">
      <c r="A22" s="7" t="s">
        <v>2</v>
      </c>
      <c r="B22" s="7" t="s">
        <v>88</v>
      </c>
      <c r="C22" s="7" t="str">
        <f>"Sets!"&amp;ADDRESS(ROW(Sets!AA7),COLUMN(Sets!AA7),4)</f>
        <v>Sets!AA7</v>
      </c>
      <c r="D22" s="7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M165"/>
  <sheetViews>
    <sheetView workbookViewId="0">
      <selection activeCell="Y1" sqref="Y1:Z1048576"/>
    </sheetView>
  </sheetViews>
  <sheetFormatPr defaultRowHeight="15"/>
  <cols>
    <col min="1" max="1" width="13.140625" bestFit="1" customWidth="1"/>
    <col min="2" max="2" width="13.140625" style="7" bestFit="1" customWidth="1"/>
    <col min="3" max="3" width="13.140625" style="7" customWidth="1"/>
    <col min="4" max="5" width="13.140625" style="7" bestFit="1" customWidth="1"/>
    <col min="6" max="6" width="23" style="7" bestFit="1" customWidth="1"/>
    <col min="7" max="7" width="13.140625" style="7" bestFit="1" customWidth="1"/>
    <col min="8" max="8" width="19.85546875" style="7" bestFit="1" customWidth="1"/>
    <col min="9" max="9" width="13.140625" style="7" bestFit="1" customWidth="1"/>
    <col min="10" max="10" width="18.5703125" style="7" bestFit="1" customWidth="1"/>
    <col min="11" max="11" width="13.140625" style="7" bestFit="1" customWidth="1"/>
    <col min="12" max="12" width="20.7109375" style="7" bestFit="1" customWidth="1"/>
    <col min="13" max="13" width="13.140625" style="7" bestFit="1" customWidth="1"/>
    <col min="14" max="14" width="21" style="7" bestFit="1" customWidth="1"/>
    <col min="15" max="15" width="16.7109375" style="7" bestFit="1" customWidth="1"/>
    <col min="16" max="16" width="20.85546875" style="7" bestFit="1" customWidth="1"/>
    <col min="17" max="17" width="16.7109375" style="7" bestFit="1" customWidth="1"/>
    <col min="18" max="18" width="18" style="7" bestFit="1" customWidth="1"/>
    <col min="19" max="19" width="13.140625" style="7" bestFit="1" customWidth="1"/>
    <col min="20" max="20" width="4.140625" style="7" bestFit="1" customWidth="1"/>
    <col min="21" max="21" width="5.28515625" style="7" bestFit="1" customWidth="1"/>
    <col min="22" max="22" width="4.42578125" style="7" bestFit="1" customWidth="1"/>
    <col min="23" max="23" width="7.140625" style="7" bestFit="1" customWidth="1"/>
    <col min="24" max="24" width="6.85546875" style="7" bestFit="1" customWidth="1"/>
    <col min="25" max="26" width="6.85546875" style="7" customWidth="1"/>
    <col min="27" max="27" width="13.140625" style="7" bestFit="1" customWidth="1"/>
    <col min="28" max="28" width="19.140625" style="7" bestFit="1" customWidth="1"/>
    <col min="29" max="29" width="20.140625" style="7" customWidth="1"/>
    <col min="30" max="30" width="10" style="14" bestFit="1" customWidth="1"/>
    <col min="31" max="31" width="11.5703125" style="14" bestFit="1" customWidth="1"/>
    <col min="32" max="33" width="23.140625" style="7" customWidth="1"/>
    <col min="34" max="34" width="16.7109375" customWidth="1"/>
    <col min="35" max="35" width="19" customWidth="1"/>
    <col min="37" max="38" width="9.140625" style="7"/>
  </cols>
  <sheetData>
    <row r="5" spans="1:39" s="1" customFormat="1">
      <c r="A5" s="1" t="s">
        <v>7</v>
      </c>
      <c r="B5" s="1" t="s">
        <v>38</v>
      </c>
      <c r="C5" s="1" t="s">
        <v>43</v>
      </c>
      <c r="D5" s="1" t="s">
        <v>59</v>
      </c>
      <c r="E5" s="1" t="s">
        <v>40</v>
      </c>
      <c r="G5" s="1" t="s">
        <v>128</v>
      </c>
      <c r="I5" s="1" t="s">
        <v>78</v>
      </c>
      <c r="K5" s="1" t="s">
        <v>80</v>
      </c>
      <c r="M5" s="1" t="s">
        <v>81</v>
      </c>
      <c r="O5" s="1" t="s">
        <v>129</v>
      </c>
      <c r="Q5" s="1" t="s">
        <v>61</v>
      </c>
      <c r="S5" s="1" t="s">
        <v>62</v>
      </c>
      <c r="AA5" s="1" t="s">
        <v>86</v>
      </c>
      <c r="AD5" s="1" t="s">
        <v>51</v>
      </c>
      <c r="AE5" s="1" t="s">
        <v>54</v>
      </c>
      <c r="AF5" s="1" t="s">
        <v>130</v>
      </c>
      <c r="AM5" s="1" t="s">
        <v>27</v>
      </c>
    </row>
    <row r="6" spans="1:39">
      <c r="A6" s="12" t="s">
        <v>32</v>
      </c>
      <c r="B6" s="12" t="s">
        <v>32</v>
      </c>
      <c r="D6" s="12" t="s">
        <v>32</v>
      </c>
      <c r="E6" s="12" t="s">
        <v>32</v>
      </c>
      <c r="F6" t="s">
        <v>39</v>
      </c>
      <c r="G6" s="12" t="s">
        <v>32</v>
      </c>
      <c r="H6" t="s">
        <v>42</v>
      </c>
      <c r="I6" s="12" t="s">
        <v>32</v>
      </c>
      <c r="J6" t="s">
        <v>41</v>
      </c>
      <c r="K6" s="12" t="s">
        <v>32</v>
      </c>
      <c r="L6" t="s">
        <v>82</v>
      </c>
      <c r="M6" s="12" t="s">
        <v>32</v>
      </c>
      <c r="N6" t="s">
        <v>83</v>
      </c>
      <c r="O6" s="12" t="s">
        <v>34</v>
      </c>
      <c r="P6" s="12" t="s">
        <v>131</v>
      </c>
      <c r="Q6" s="12" t="s">
        <v>34</v>
      </c>
      <c r="R6" s="12" t="s">
        <v>28</v>
      </c>
      <c r="S6" s="12" t="s">
        <v>32</v>
      </c>
      <c r="T6" s="7" t="s">
        <v>68</v>
      </c>
      <c r="U6" s="7" t="s">
        <v>69</v>
      </c>
      <c r="V6" s="7" t="s">
        <v>70</v>
      </c>
      <c r="W6" s="7" t="s">
        <v>71</v>
      </c>
      <c r="X6" s="7" t="s">
        <v>37</v>
      </c>
      <c r="AA6" s="12" t="s">
        <v>32</v>
      </c>
      <c r="AB6" t="s">
        <v>87</v>
      </c>
      <c r="AC6" s="12"/>
      <c r="AD6" s="16" t="s">
        <v>52</v>
      </c>
      <c r="AE6" s="16" t="s">
        <v>53</v>
      </c>
      <c r="AF6" s="7" t="s">
        <v>106</v>
      </c>
      <c r="AH6" s="7"/>
    </row>
    <row r="7" spans="1:39">
      <c r="A7" s="13" t="s">
        <v>107</v>
      </c>
      <c r="B7" s="13" t="s">
        <v>109</v>
      </c>
      <c r="C7" s="12" t="s">
        <v>29</v>
      </c>
      <c r="D7" s="13" t="s">
        <v>29</v>
      </c>
      <c r="E7" s="13" t="s">
        <v>107</v>
      </c>
      <c r="F7" s="3">
        <v>1</v>
      </c>
      <c r="G7" s="13" t="s">
        <v>107</v>
      </c>
      <c r="H7" s="3">
        <v>0</v>
      </c>
      <c r="I7" s="13" t="s">
        <v>107</v>
      </c>
      <c r="J7" s="3">
        <v>0</v>
      </c>
      <c r="K7" s="13" t="s">
        <v>107</v>
      </c>
      <c r="L7" s="3">
        <v>0</v>
      </c>
      <c r="M7" s="13" t="s">
        <v>107</v>
      </c>
      <c r="N7" s="3">
        <v>0</v>
      </c>
      <c r="O7" s="7" t="s">
        <v>107</v>
      </c>
      <c r="P7" s="7" t="s">
        <v>109</v>
      </c>
      <c r="Q7" s="7" t="s">
        <v>107</v>
      </c>
      <c r="R7" s="7" t="s">
        <v>29</v>
      </c>
      <c r="S7" s="13" t="s">
        <v>107</v>
      </c>
      <c r="T7" s="3">
        <v>-1</v>
      </c>
      <c r="U7" s="3">
        <v>-1</v>
      </c>
      <c r="V7" s="3">
        <v>-1</v>
      </c>
      <c r="W7" s="3">
        <v>1</v>
      </c>
      <c r="X7" s="3">
        <v>-1</v>
      </c>
      <c r="Y7" s="3"/>
      <c r="Z7" s="3"/>
      <c r="AA7" s="13" t="s">
        <v>107</v>
      </c>
      <c r="AB7" s="3">
        <v>100</v>
      </c>
      <c r="AC7" s="3"/>
      <c r="AD7" s="14">
        <v>2015</v>
      </c>
      <c r="AE7" s="14">
        <f>2051-Scenarios!G6</f>
        <v>2050</v>
      </c>
      <c r="AF7" s="7">
        <v>2015</v>
      </c>
      <c r="AH7" s="7"/>
      <c r="AI7" s="7"/>
      <c r="AJ7" s="7"/>
      <c r="AM7" t="s">
        <v>14</v>
      </c>
    </row>
    <row r="8" spans="1:39">
      <c r="B8"/>
      <c r="C8" s="13" t="s">
        <v>30</v>
      </c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 s="3"/>
      <c r="Z8" s="3"/>
      <c r="AA8"/>
      <c r="AB8"/>
      <c r="AC8" s="3"/>
      <c r="AD8" s="14">
        <v>2016</v>
      </c>
      <c r="AE8" s="14" t="str">
        <f>IF(OR(AE7=2050,AE7=""),"",AE7+1)</f>
        <v/>
      </c>
      <c r="AF8" s="7">
        <v>2016</v>
      </c>
      <c r="AH8" s="7"/>
      <c r="AI8" s="7"/>
      <c r="AJ8" s="7"/>
      <c r="AM8" s="7" t="s">
        <v>15</v>
      </c>
    </row>
    <row r="9" spans="1:39">
      <c r="B9"/>
      <c r="C9" s="13" t="s">
        <v>31</v>
      </c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 s="3"/>
      <c r="Z9" s="3"/>
      <c r="AA9"/>
      <c r="AB9"/>
      <c r="AC9" s="3"/>
      <c r="AD9" s="14">
        <v>2017</v>
      </c>
      <c r="AE9" s="14" t="str">
        <f>IF(OR(AE8=2050,AE8=""),"",AE8+1)</f>
        <v/>
      </c>
      <c r="AF9" s="7">
        <v>2017</v>
      </c>
      <c r="AH9" s="7"/>
      <c r="AI9" s="7"/>
      <c r="AJ9" s="7"/>
      <c r="AM9" s="7" t="s">
        <v>16</v>
      </c>
    </row>
    <row r="10" spans="1:39">
      <c r="B10"/>
      <c r="C10" s="13" t="s">
        <v>44</v>
      </c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 s="3"/>
      <c r="Z10" s="3"/>
      <c r="AA10"/>
      <c r="AB10"/>
      <c r="AC10" s="3"/>
      <c r="AD10" s="14">
        <v>2018</v>
      </c>
      <c r="AE10" s="14" t="str">
        <f t="shared" ref="AE10:AE13" si="0">IF(OR(AE9=2050,AE9=""),"",AE9+1)</f>
        <v/>
      </c>
      <c r="AF10" s="7">
        <v>2018</v>
      </c>
      <c r="AH10" s="7"/>
      <c r="AI10" s="7"/>
      <c r="AJ10" s="7"/>
      <c r="AM10" s="7" t="s">
        <v>17</v>
      </c>
    </row>
    <row r="11" spans="1:39">
      <c r="B11"/>
      <c r="C11" s="13" t="s">
        <v>45</v>
      </c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 s="3"/>
      <c r="Z11" s="3"/>
      <c r="AA11"/>
      <c r="AB11"/>
      <c r="AD11" s="14">
        <v>2019</v>
      </c>
      <c r="AE11" s="14" t="str">
        <f t="shared" si="0"/>
        <v/>
      </c>
      <c r="AF11" s="7">
        <v>2019</v>
      </c>
      <c r="AH11" s="7"/>
      <c r="AI11" s="7"/>
      <c r="AJ11" s="7"/>
      <c r="AM11" s="7" t="s">
        <v>18</v>
      </c>
    </row>
    <row r="12" spans="1:39">
      <c r="B12"/>
      <c r="C12" s="13" t="s">
        <v>46</v>
      </c>
      <c r="D12" s="13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 s="3"/>
      <c r="Z12" s="3"/>
      <c r="AA12"/>
      <c r="AB12"/>
      <c r="AD12" s="14">
        <v>2020</v>
      </c>
      <c r="AE12" s="14" t="str">
        <f t="shared" si="0"/>
        <v/>
      </c>
      <c r="AF12" s="7">
        <v>2020</v>
      </c>
      <c r="AH12" s="7"/>
      <c r="AI12" s="7"/>
      <c r="AJ12" s="7"/>
      <c r="AM12" s="7" t="s">
        <v>19</v>
      </c>
    </row>
    <row r="13" spans="1:39">
      <c r="B13"/>
      <c r="C13" s="13" t="s">
        <v>47</v>
      </c>
      <c r="D13" s="13"/>
      <c r="E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 s="3"/>
      <c r="Z13" s="3"/>
      <c r="AA13"/>
      <c r="AB13"/>
      <c r="AD13" s="14">
        <v>2021</v>
      </c>
      <c r="AE13" s="14" t="str">
        <f t="shared" si="0"/>
        <v/>
      </c>
      <c r="AF13" s="7">
        <v>2021</v>
      </c>
      <c r="AH13" s="7"/>
      <c r="AI13" s="7"/>
      <c r="AJ13" s="7"/>
      <c r="AM13" s="7" t="s">
        <v>20</v>
      </c>
    </row>
    <row r="14" spans="1:39">
      <c r="B14"/>
      <c r="C14" s="13" t="s">
        <v>48</v>
      </c>
      <c r="D14" s="13"/>
      <c r="E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 s="3"/>
      <c r="Z14" s="3"/>
      <c r="AA14"/>
      <c r="AB14"/>
      <c r="AD14" s="14">
        <v>2022</v>
      </c>
      <c r="AF14" s="7">
        <v>2022</v>
      </c>
      <c r="AH14" s="7"/>
      <c r="AI14" s="7"/>
      <c r="AJ14" s="7"/>
      <c r="AM14" s="7" t="s">
        <v>21</v>
      </c>
    </row>
    <row r="15" spans="1:39">
      <c r="B15"/>
      <c r="C15" s="13" t="s">
        <v>49</v>
      </c>
      <c r="D15" s="13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 s="3"/>
      <c r="Z15" s="3"/>
      <c r="AA15"/>
      <c r="AB15"/>
      <c r="AD15" s="14">
        <v>2023</v>
      </c>
      <c r="AF15" s="7">
        <v>2023</v>
      </c>
      <c r="AH15" s="7"/>
      <c r="AI15" s="7"/>
      <c r="AJ15" s="7"/>
      <c r="AM15" s="7" t="s">
        <v>22</v>
      </c>
    </row>
    <row r="16" spans="1:39">
      <c r="B16"/>
      <c r="C16" s="13" t="s">
        <v>50</v>
      </c>
      <c r="D16" s="13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 s="3"/>
      <c r="Z16" s="3"/>
      <c r="AA16"/>
      <c r="AB16"/>
      <c r="AD16" s="14">
        <v>2024</v>
      </c>
      <c r="AF16" s="7">
        <v>2024</v>
      </c>
      <c r="AH16" s="7"/>
      <c r="AI16" s="7"/>
      <c r="AJ16" s="7"/>
      <c r="AM16" s="7" t="s">
        <v>5</v>
      </c>
    </row>
    <row r="17" spans="2:39">
      <c r="B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 s="3"/>
      <c r="Z17" s="3"/>
      <c r="AA17"/>
      <c r="AB17"/>
      <c r="AD17" s="14">
        <v>2025</v>
      </c>
      <c r="AF17" s="7">
        <v>2025</v>
      </c>
      <c r="AH17" s="7"/>
      <c r="AI17" s="7"/>
      <c r="AJ17" s="7"/>
      <c r="AM17" s="7" t="s">
        <v>23</v>
      </c>
    </row>
    <row r="18" spans="2:39">
      <c r="B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 s="3"/>
      <c r="Z18" s="3"/>
      <c r="AA18"/>
      <c r="AB18"/>
      <c r="AD18" s="14">
        <v>2026</v>
      </c>
      <c r="AF18" s="7">
        <v>2026</v>
      </c>
      <c r="AH18" s="7"/>
      <c r="AI18" s="7"/>
      <c r="AJ18" s="7"/>
      <c r="AM18" s="7" t="s">
        <v>25</v>
      </c>
    </row>
    <row r="19" spans="2:39">
      <c r="B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 s="3"/>
      <c r="Z19" s="3"/>
      <c r="AA19"/>
      <c r="AB19"/>
      <c r="AD19" s="14">
        <v>2027</v>
      </c>
      <c r="AF19" s="7">
        <v>2027</v>
      </c>
      <c r="AH19" s="7"/>
      <c r="AI19" s="7"/>
      <c r="AJ19" s="7"/>
      <c r="AM19" s="7" t="s">
        <v>24</v>
      </c>
    </row>
    <row r="20" spans="2:39">
      <c r="B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 s="3"/>
      <c r="Z20" s="3"/>
      <c r="AA20"/>
      <c r="AB20"/>
      <c r="AD20" s="14">
        <v>2028</v>
      </c>
      <c r="AF20" s="7">
        <v>2028</v>
      </c>
      <c r="AH20" s="7"/>
      <c r="AI20" s="7"/>
      <c r="AJ20" s="7"/>
      <c r="AM20" s="7" t="s">
        <v>11</v>
      </c>
    </row>
    <row r="21" spans="2:39">
      <c r="B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 s="3"/>
      <c r="Z21" s="3"/>
      <c r="AA21"/>
      <c r="AB21"/>
      <c r="AD21" s="14">
        <v>2029</v>
      </c>
      <c r="AF21" s="7">
        <v>2029</v>
      </c>
      <c r="AH21" s="7"/>
      <c r="AI21" s="7"/>
      <c r="AJ21" s="7"/>
      <c r="AM21" s="7" t="s">
        <v>11</v>
      </c>
    </row>
    <row r="22" spans="2:39">
      <c r="B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 s="3"/>
      <c r="Z22" s="3"/>
      <c r="AA22"/>
      <c r="AB22"/>
      <c r="AD22" s="14">
        <v>2030</v>
      </c>
      <c r="AF22" s="7">
        <v>2030</v>
      </c>
      <c r="AH22" s="7"/>
      <c r="AI22" s="7"/>
      <c r="AJ22" s="7"/>
      <c r="AM22" s="7" t="s">
        <v>11</v>
      </c>
    </row>
    <row r="23" spans="2:39">
      <c r="B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 s="3"/>
      <c r="Z23" s="3"/>
      <c r="AA23"/>
      <c r="AB23"/>
      <c r="AD23" s="14">
        <v>2031</v>
      </c>
      <c r="AF23" s="7">
        <v>2031</v>
      </c>
      <c r="AH23" s="7"/>
      <c r="AI23" s="7"/>
      <c r="AJ23" s="7"/>
      <c r="AM23" s="7" t="s">
        <v>11</v>
      </c>
    </row>
    <row r="24" spans="2:39">
      <c r="B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 s="3"/>
      <c r="Z24" s="3"/>
      <c r="AA24"/>
      <c r="AB24"/>
      <c r="AD24" s="14">
        <v>2032</v>
      </c>
      <c r="AF24" s="7">
        <v>2032</v>
      </c>
      <c r="AH24" s="7"/>
      <c r="AI24" s="7"/>
      <c r="AJ24" s="7"/>
      <c r="AM24" s="7"/>
    </row>
    <row r="25" spans="2:39">
      <c r="B25"/>
      <c r="E25"/>
      <c r="F25"/>
      <c r="G25"/>
      <c r="H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 s="3"/>
      <c r="Z25" s="3"/>
      <c r="AA25"/>
      <c r="AB25"/>
      <c r="AD25" s="14">
        <v>2033</v>
      </c>
      <c r="AF25" s="7">
        <v>2033</v>
      </c>
      <c r="AH25" s="7"/>
      <c r="AI25" s="7"/>
      <c r="AJ25" s="7"/>
      <c r="AM25" s="7"/>
    </row>
    <row r="26" spans="2:39">
      <c r="B26"/>
      <c r="E26"/>
      <c r="F26"/>
      <c r="G26"/>
      <c r="H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 s="3"/>
      <c r="Z26" s="3"/>
      <c r="AA26"/>
      <c r="AB26"/>
      <c r="AD26" s="14">
        <v>2034</v>
      </c>
      <c r="AF26" s="7">
        <v>2034</v>
      </c>
      <c r="AH26" s="7"/>
      <c r="AI26" s="7"/>
      <c r="AJ26" s="7"/>
      <c r="AM26" s="7"/>
    </row>
    <row r="27" spans="2:39">
      <c r="B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 s="3"/>
      <c r="Z27" s="3"/>
      <c r="AA27"/>
      <c r="AB27"/>
      <c r="AD27" s="14">
        <v>2035</v>
      </c>
      <c r="AF27" s="7">
        <v>2035</v>
      </c>
      <c r="AH27" s="7"/>
      <c r="AI27" s="7"/>
      <c r="AJ27" s="7"/>
      <c r="AM27" s="7"/>
    </row>
    <row r="28" spans="2:39">
      <c r="B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 s="3"/>
      <c r="Z28" s="3"/>
      <c r="AA28"/>
      <c r="AB28"/>
      <c r="AD28" s="14">
        <v>2036</v>
      </c>
      <c r="AF28" s="7">
        <v>2036</v>
      </c>
      <c r="AH28" s="7"/>
      <c r="AI28" s="7"/>
      <c r="AJ28" s="7"/>
      <c r="AM28" s="7"/>
    </row>
    <row r="29" spans="2:39">
      <c r="B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 s="3"/>
      <c r="Z29" s="3"/>
      <c r="AA29"/>
      <c r="AB29"/>
      <c r="AD29" s="14">
        <v>2037</v>
      </c>
      <c r="AF29" s="7">
        <v>2037</v>
      </c>
      <c r="AH29" s="7"/>
      <c r="AI29" s="7"/>
      <c r="AJ29" s="7"/>
      <c r="AM29" s="7"/>
    </row>
    <row r="30" spans="2:39">
      <c r="B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 s="3"/>
      <c r="Z30" s="3"/>
      <c r="AA30"/>
      <c r="AB30"/>
      <c r="AD30" s="14">
        <v>2038</v>
      </c>
      <c r="AF30" s="7">
        <v>2038</v>
      </c>
      <c r="AH30" s="7"/>
      <c r="AI30" s="7"/>
      <c r="AJ30" s="7"/>
      <c r="AM30" s="7"/>
    </row>
    <row r="31" spans="2:39">
      <c r="B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AA31"/>
      <c r="AB31"/>
      <c r="AD31" s="14">
        <v>2039</v>
      </c>
      <c r="AF31" s="7">
        <v>2039</v>
      </c>
      <c r="AH31" s="7"/>
      <c r="AI31" s="7"/>
      <c r="AJ31" s="7"/>
      <c r="AM31" s="7"/>
    </row>
    <row r="32" spans="2:39">
      <c r="B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AA32"/>
      <c r="AB32"/>
      <c r="AD32" s="14">
        <v>2040</v>
      </c>
      <c r="AF32" s="7">
        <v>2040</v>
      </c>
      <c r="AH32" s="7"/>
      <c r="AI32" s="7"/>
      <c r="AJ32" s="7"/>
      <c r="AM32" s="7"/>
    </row>
    <row r="33" spans="2:39">
      <c r="B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AA33"/>
      <c r="AB33"/>
      <c r="AD33" s="14">
        <v>2041</v>
      </c>
      <c r="AF33" s="7">
        <v>2041</v>
      </c>
      <c r="AH33" s="7"/>
      <c r="AI33" s="7"/>
      <c r="AJ33" s="7"/>
      <c r="AM33" s="7"/>
    </row>
    <row r="34" spans="2:39">
      <c r="B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AA34"/>
      <c r="AB34"/>
      <c r="AD34" s="14">
        <v>2042</v>
      </c>
      <c r="AF34" s="7">
        <v>2042</v>
      </c>
      <c r="AH34" s="7"/>
      <c r="AI34" s="7"/>
      <c r="AJ34" s="7"/>
      <c r="AM34" s="7"/>
    </row>
    <row r="35" spans="2:39">
      <c r="B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AA35"/>
      <c r="AB35"/>
      <c r="AD35" s="14">
        <v>2043</v>
      </c>
      <c r="AF35" s="7">
        <v>2043</v>
      </c>
      <c r="AH35" s="7"/>
      <c r="AI35" s="7"/>
      <c r="AJ35" s="7"/>
      <c r="AM35" s="7"/>
    </row>
    <row r="36" spans="2:39">
      <c r="B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AA36"/>
      <c r="AB36"/>
      <c r="AD36" s="14">
        <v>2044</v>
      </c>
      <c r="AF36" s="7">
        <v>2044</v>
      </c>
      <c r="AH36" s="7"/>
      <c r="AI36" s="7"/>
      <c r="AJ36" s="7"/>
      <c r="AM36" s="7"/>
    </row>
    <row r="37" spans="2:39">
      <c r="B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AA37"/>
      <c r="AB37"/>
      <c r="AD37" s="14">
        <v>2045</v>
      </c>
      <c r="AF37" s="7">
        <v>2045</v>
      </c>
      <c r="AH37" s="7"/>
      <c r="AI37" s="7"/>
      <c r="AJ37" s="7"/>
      <c r="AM37" s="7"/>
    </row>
    <row r="38" spans="2:39">
      <c r="B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AA38"/>
      <c r="AB38"/>
      <c r="AD38" s="14">
        <v>2046</v>
      </c>
      <c r="AF38" s="7">
        <v>2046</v>
      </c>
      <c r="AH38" s="7"/>
      <c r="AI38" s="7"/>
      <c r="AJ38" s="7"/>
      <c r="AM38" s="7"/>
    </row>
    <row r="39" spans="2:39">
      <c r="B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AA39"/>
      <c r="AB39"/>
      <c r="AD39" s="14">
        <v>2047</v>
      </c>
      <c r="AF39" s="7">
        <v>2047</v>
      </c>
      <c r="AH39" s="7"/>
      <c r="AI39" s="7"/>
      <c r="AJ39" s="7"/>
      <c r="AM39" s="7"/>
    </row>
    <row r="40" spans="2:39">
      <c r="B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AA40"/>
      <c r="AB40"/>
      <c r="AD40" s="14">
        <v>2048</v>
      </c>
      <c r="AF40" s="7">
        <v>2048</v>
      </c>
      <c r="AH40" s="7"/>
      <c r="AI40" s="7"/>
      <c r="AJ40" s="7"/>
      <c r="AM40" s="7"/>
    </row>
    <row r="41" spans="2:39">
      <c r="B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AA41"/>
      <c r="AB41"/>
      <c r="AD41" s="14">
        <v>2049</v>
      </c>
      <c r="AF41" s="7">
        <v>2049</v>
      </c>
      <c r="AH41" s="7"/>
      <c r="AI41" s="7"/>
      <c r="AJ41" s="7"/>
      <c r="AM41" s="7"/>
    </row>
    <row r="42" spans="2:39">
      <c r="B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AA42"/>
      <c r="AB42"/>
      <c r="AD42" s="14">
        <v>2050</v>
      </c>
      <c r="AF42" s="7">
        <v>2050</v>
      </c>
      <c r="AH42" s="7"/>
      <c r="AI42" s="7"/>
      <c r="AJ42" s="7"/>
      <c r="AM42" s="7"/>
    </row>
    <row r="43" spans="2:39">
      <c r="B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AA43"/>
      <c r="AB43"/>
      <c r="AH43" s="7"/>
      <c r="AI43" s="7"/>
      <c r="AJ43" s="7"/>
      <c r="AM43" s="7"/>
    </row>
    <row r="44" spans="2:39">
      <c r="B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AA44"/>
      <c r="AB44"/>
      <c r="AH44" s="7"/>
      <c r="AI44" s="7"/>
      <c r="AJ44" s="7"/>
      <c r="AM44" s="7"/>
    </row>
    <row r="45" spans="2:39">
      <c r="B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AA45"/>
      <c r="AB45"/>
      <c r="AH45" s="7"/>
      <c r="AI45" s="7"/>
      <c r="AJ45" s="7"/>
      <c r="AM45" s="7"/>
    </row>
    <row r="46" spans="2:39">
      <c r="B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AA46"/>
      <c r="AB46"/>
      <c r="AH46" s="7"/>
      <c r="AI46" s="7"/>
      <c r="AJ46" s="7"/>
    </row>
    <row r="47" spans="2:39">
      <c r="B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AA47"/>
      <c r="AB47"/>
      <c r="AH47" s="7"/>
      <c r="AI47" s="7"/>
      <c r="AJ47" s="7"/>
    </row>
    <row r="48" spans="2:39">
      <c r="B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AA48"/>
      <c r="AB48"/>
      <c r="AH48" s="7"/>
      <c r="AI48" s="7"/>
      <c r="AJ48" s="7"/>
    </row>
    <row r="49" spans="2:36">
      <c r="B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AA49"/>
      <c r="AB49"/>
      <c r="AH49" s="7"/>
      <c r="AI49" s="7"/>
      <c r="AJ49" s="7"/>
    </row>
    <row r="50" spans="2:36">
      <c r="B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AA50"/>
      <c r="AB50"/>
      <c r="AH50" s="7"/>
      <c r="AI50" s="7"/>
      <c r="AJ50" s="7"/>
    </row>
    <row r="51" spans="2:36">
      <c r="B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AA51"/>
      <c r="AB51"/>
      <c r="AH51" s="7"/>
      <c r="AI51" s="7"/>
      <c r="AJ51" s="7"/>
    </row>
    <row r="52" spans="2:36">
      <c r="B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AA52"/>
      <c r="AB52"/>
    </row>
    <row r="53" spans="2:36">
      <c r="B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AA53"/>
      <c r="AB53"/>
    </row>
    <row r="54" spans="2:36">
      <c r="B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AA54"/>
      <c r="AB54"/>
    </row>
    <row r="55" spans="2:36">
      <c r="B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AA55"/>
      <c r="AB55"/>
    </row>
    <row r="56" spans="2:36">
      <c r="B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AA56"/>
      <c r="AB56"/>
    </row>
    <row r="57" spans="2:36">
      <c r="B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AA57"/>
      <c r="AB57"/>
    </row>
    <row r="58" spans="2:36">
      <c r="B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AA58"/>
      <c r="AB58"/>
    </row>
    <row r="59" spans="2:36">
      <c r="B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AA59"/>
      <c r="AB59"/>
    </row>
    <row r="60" spans="2:36">
      <c r="B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AA60"/>
      <c r="AB60"/>
    </row>
    <row r="61" spans="2:36">
      <c r="B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AA61"/>
      <c r="AB61"/>
    </row>
    <row r="62" spans="2:36">
      <c r="B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AA62"/>
      <c r="AB62"/>
    </row>
    <row r="63" spans="2:36">
      <c r="B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AA63"/>
      <c r="AB63"/>
    </row>
    <row r="64" spans="2:36">
      <c r="B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AA64"/>
      <c r="AB64"/>
    </row>
    <row r="65" spans="2:28">
      <c r="B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AA65"/>
      <c r="AB65"/>
    </row>
    <row r="66" spans="2:28">
      <c r="B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AA66"/>
      <c r="AB66"/>
    </row>
    <row r="67" spans="2:28">
      <c r="B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AA67"/>
      <c r="AB67"/>
    </row>
    <row r="68" spans="2:28">
      <c r="B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AA68"/>
      <c r="AB68"/>
    </row>
    <row r="69" spans="2:28">
      <c r="B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AA69"/>
      <c r="AB69"/>
    </row>
    <row r="70" spans="2:28">
      <c r="B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AA70"/>
      <c r="AB70"/>
    </row>
    <row r="71" spans="2:28">
      <c r="B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AA71"/>
      <c r="AB71"/>
    </row>
    <row r="72" spans="2:28">
      <c r="B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AA72"/>
      <c r="AB72"/>
    </row>
    <row r="73" spans="2:28">
      <c r="B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AA73"/>
      <c r="AB73"/>
    </row>
    <row r="74" spans="2:28">
      <c r="B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AA74"/>
      <c r="AB74"/>
    </row>
    <row r="75" spans="2:28">
      <c r="B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AA75"/>
      <c r="AB75"/>
    </row>
    <row r="76" spans="2:28"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AA76"/>
      <c r="AB76"/>
    </row>
    <row r="77" spans="2:28"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AA77"/>
      <c r="AB77"/>
    </row>
    <row r="78" spans="2:28"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AA78"/>
      <c r="AB78"/>
    </row>
    <row r="79" spans="2:28"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AA79"/>
      <c r="AB79"/>
    </row>
    <row r="80" spans="2:28"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AA80"/>
      <c r="AB80"/>
    </row>
    <row r="81" spans="5:28"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AA81"/>
      <c r="AB81"/>
    </row>
    <row r="82" spans="5:28"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AA82"/>
      <c r="AB82"/>
    </row>
    <row r="83" spans="5:28"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AA83"/>
      <c r="AB83"/>
    </row>
    <row r="84" spans="5:28"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AA84"/>
      <c r="AB84"/>
    </row>
    <row r="85" spans="5:28"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AA85"/>
      <c r="AB85"/>
    </row>
    <row r="86" spans="5:28"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AA86"/>
      <c r="AB86"/>
    </row>
    <row r="87" spans="5:28"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AA87"/>
      <c r="AB87"/>
    </row>
    <row r="88" spans="5:28"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AA88"/>
      <c r="AB88"/>
    </row>
    <row r="89" spans="5:28"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AA89"/>
      <c r="AB89"/>
    </row>
    <row r="90" spans="5:28"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AA90"/>
      <c r="AB90"/>
    </row>
    <row r="91" spans="5:28"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AA91"/>
      <c r="AB91"/>
    </row>
    <row r="92" spans="5:28"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AA92"/>
      <c r="AB92"/>
    </row>
    <row r="93" spans="5:28"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AA93"/>
      <c r="AB93"/>
    </row>
    <row r="94" spans="5:28"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AA94"/>
      <c r="AB94"/>
    </row>
    <row r="95" spans="5:28"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AA95"/>
      <c r="AB95"/>
    </row>
    <row r="96" spans="5:28"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AA96"/>
      <c r="AB96"/>
    </row>
    <row r="97" spans="5:28"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AA97"/>
      <c r="AB97"/>
    </row>
    <row r="98" spans="5:28"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AA98"/>
      <c r="AB98"/>
    </row>
    <row r="99" spans="5:28"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AA99"/>
      <c r="AB99"/>
    </row>
    <row r="100" spans="5:28"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AA100"/>
      <c r="AB100"/>
    </row>
    <row r="101" spans="5:28"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AA101"/>
      <c r="AB101"/>
    </row>
    <row r="102" spans="5:28"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AA102"/>
      <c r="AB102"/>
    </row>
    <row r="103" spans="5:28"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AA103"/>
      <c r="AB103"/>
    </row>
    <row r="104" spans="5:28"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AA104"/>
      <c r="AB104"/>
    </row>
    <row r="105" spans="5:28"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AA105"/>
      <c r="AB105"/>
    </row>
    <row r="106" spans="5:28"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AA106"/>
      <c r="AB106"/>
    </row>
    <row r="107" spans="5:28"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AA107"/>
      <c r="AB107"/>
    </row>
    <row r="108" spans="5:28"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AA108"/>
      <c r="AB108"/>
    </row>
    <row r="109" spans="5:28"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AA109"/>
      <c r="AB109"/>
    </row>
    <row r="110" spans="5:28"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AA110"/>
      <c r="AB110"/>
    </row>
    <row r="111" spans="5:28"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AA111"/>
      <c r="AB111"/>
    </row>
    <row r="112" spans="5:28"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AA112"/>
      <c r="AB112"/>
    </row>
    <row r="113" spans="5:28"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AA113"/>
      <c r="AB113"/>
    </row>
    <row r="114" spans="5:28"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AA114"/>
      <c r="AB114"/>
    </row>
    <row r="115" spans="5:28"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AA115"/>
      <c r="AB115"/>
    </row>
    <row r="116" spans="5:28"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AA116"/>
      <c r="AB116"/>
    </row>
    <row r="117" spans="5:28"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AA117"/>
      <c r="AB117"/>
    </row>
    <row r="118" spans="5:28"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AA118"/>
      <c r="AB118"/>
    </row>
    <row r="119" spans="5:28"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AA119"/>
      <c r="AB119"/>
    </row>
    <row r="120" spans="5:28"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AA120"/>
      <c r="AB120"/>
    </row>
    <row r="121" spans="5:28"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AA121"/>
      <c r="AB121"/>
    </row>
    <row r="122" spans="5:28"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AA122"/>
      <c r="AB122"/>
    </row>
    <row r="123" spans="5:28"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AA123"/>
      <c r="AB123"/>
    </row>
    <row r="124" spans="5:28"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AA124"/>
      <c r="AB124"/>
    </row>
    <row r="125" spans="5:28"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AA125"/>
      <c r="AB125"/>
    </row>
    <row r="126" spans="5:28"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AA126"/>
      <c r="AB126"/>
    </row>
    <row r="127" spans="5:28"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AA127"/>
      <c r="AB127"/>
    </row>
    <row r="128" spans="5:28"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AA128"/>
      <c r="AB128"/>
    </row>
    <row r="129" spans="5:28"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AA129"/>
      <c r="AB129"/>
    </row>
    <row r="130" spans="5:28"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AA130"/>
      <c r="AB130"/>
    </row>
    <row r="131" spans="5:28"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AA131"/>
      <c r="AB131"/>
    </row>
    <row r="132" spans="5:28"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AA132"/>
      <c r="AB132"/>
    </row>
    <row r="133" spans="5:28"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AA133"/>
      <c r="AB133"/>
    </row>
    <row r="134" spans="5:28"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AA134"/>
      <c r="AB134"/>
    </row>
    <row r="135" spans="5:28"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AA135"/>
      <c r="AB135"/>
    </row>
    <row r="136" spans="5:28"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AA136"/>
      <c r="AB136"/>
    </row>
    <row r="137" spans="5:28"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AA137"/>
      <c r="AB137"/>
    </row>
    <row r="138" spans="5:28"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AA138"/>
      <c r="AB138"/>
    </row>
    <row r="139" spans="5:28"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AA139"/>
      <c r="AB139"/>
    </row>
    <row r="140" spans="5:28"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AA140"/>
      <c r="AB140"/>
    </row>
    <row r="141" spans="5:28"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AA141"/>
      <c r="AB141"/>
    </row>
    <row r="142" spans="5:28"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AA142"/>
      <c r="AB142"/>
    </row>
    <row r="143" spans="5:28"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AA143"/>
      <c r="AB143"/>
    </row>
    <row r="144" spans="5:28"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AA144"/>
      <c r="AB144"/>
    </row>
    <row r="145" spans="5:28"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AA145"/>
      <c r="AB145"/>
    </row>
    <row r="146" spans="5:28"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AA146"/>
      <c r="AB146"/>
    </row>
    <row r="147" spans="5:28"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AA147"/>
      <c r="AB147"/>
    </row>
    <row r="148" spans="5:28"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AA148"/>
      <c r="AB148"/>
    </row>
    <row r="149" spans="5:28"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AA149"/>
      <c r="AB149"/>
    </row>
    <row r="150" spans="5:28"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AA150"/>
      <c r="AB150"/>
    </row>
    <row r="151" spans="5:28"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AA151"/>
      <c r="AB151"/>
    </row>
    <row r="152" spans="5:28"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AA152"/>
      <c r="AB152"/>
    </row>
    <row r="153" spans="5:28"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AA153"/>
      <c r="AB153"/>
    </row>
    <row r="154" spans="5:28"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AA154"/>
      <c r="AB154"/>
    </row>
    <row r="155" spans="5:28"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AA155"/>
      <c r="AB155"/>
    </row>
    <row r="156" spans="5:28"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AA156"/>
      <c r="AB156"/>
    </row>
    <row r="157" spans="5:28"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AA157"/>
      <c r="AB157"/>
    </row>
    <row r="158" spans="5:28"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AA158"/>
      <c r="AB158"/>
    </row>
    <row r="159" spans="5:28"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AA159"/>
      <c r="AB159"/>
    </row>
    <row r="160" spans="5:28"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AA160"/>
      <c r="AB160"/>
    </row>
    <row r="161" spans="5:28"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AA161"/>
      <c r="AB161"/>
    </row>
    <row r="162" spans="5:28"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AA162"/>
      <c r="AB162"/>
    </row>
    <row r="163" spans="5:28"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AA163"/>
      <c r="AB163"/>
    </row>
    <row r="164" spans="5:28"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AA164"/>
      <c r="AB164"/>
    </row>
    <row r="165" spans="5:28"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AA165"/>
      <c r="AB165"/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H56"/>
  <sheetViews>
    <sheetView tabSelected="1" zoomScale="90" zoomScaleNormal="90" workbookViewId="0">
      <pane xSplit="2" ySplit="9" topLeftCell="C10" activePane="bottomRight" state="frozen"/>
      <selection pane="topRight" activeCell="C1" sqref="C1"/>
      <selection pane="bottomLeft" activeCell="A8" sqref="A8"/>
      <selection pane="bottomRight" activeCell="G11" sqref="G11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style="7" customWidth="1"/>
    <col min="5" max="5" width="20.28515625" customWidth="1"/>
    <col min="6" max="6" width="20.28515625" style="7" customWidth="1"/>
    <col min="7" max="7" width="11.5703125" style="7" customWidth="1"/>
    <col min="8" max="8" width="22.42578125" style="7" customWidth="1"/>
    <col min="9" max="9" width="11.5703125" style="7" customWidth="1"/>
    <col min="10" max="10" width="15.85546875" style="7" customWidth="1"/>
    <col min="11" max="13" width="11.5703125" style="7" customWidth="1"/>
    <col min="14" max="14" width="7" style="7" customWidth="1"/>
    <col min="15" max="15" width="8.140625" style="7" customWidth="1"/>
    <col min="16" max="16" width="11.5703125" customWidth="1"/>
    <col min="19" max="31" width="5.5703125" customWidth="1"/>
    <col min="32" max="49" width="6.42578125" customWidth="1"/>
    <col min="50" max="50" width="10.140625" customWidth="1"/>
  </cols>
  <sheetData>
    <row r="1" spans="1:60">
      <c r="A1" s="7" t="s">
        <v>79</v>
      </c>
      <c r="B1" s="7" t="str" cm="1">
        <f t="array" aca="1" ref="B1" ca="1">LEFT(CELL("filename",A1),FIND("[",CELL("filename",A1))-1)</f>
        <v>C:\Models\KENTIMGE\</v>
      </c>
      <c r="C1" s="7"/>
      <c r="E1" s="7"/>
      <c r="J1" s="18" t="s">
        <v>72</v>
      </c>
      <c r="K1" s="7">
        <v>-1</v>
      </c>
      <c r="L1" s="7">
        <v>-1</v>
      </c>
      <c r="M1" s="7">
        <v>-1</v>
      </c>
      <c r="N1" s="7">
        <v>1</v>
      </c>
      <c r="O1" s="7">
        <v>-1</v>
      </c>
      <c r="S1" s="7"/>
      <c r="T1" t="e">
        <f>RIGHT(#REF!,1)</f>
        <v>#REF!</v>
      </c>
      <c r="U1" s="7">
        <v>7.4793989999999999</v>
      </c>
    </row>
    <row r="2" spans="1:60">
      <c r="B2" s="7"/>
      <c r="E2" s="7"/>
      <c r="J2" s="18" t="s">
        <v>73</v>
      </c>
      <c r="K2" s="7">
        <v>2</v>
      </c>
      <c r="L2" s="7">
        <v>2</v>
      </c>
      <c r="M2" s="7">
        <v>1</v>
      </c>
      <c r="N2" s="7">
        <v>2</v>
      </c>
      <c r="O2" s="7">
        <v>1</v>
      </c>
      <c r="S2" s="7"/>
      <c r="T2" s="7" t="e">
        <f>RIGHT(#REF!,1)</f>
        <v>#REF!</v>
      </c>
      <c r="U2" s="7">
        <v>6.4793989999999999</v>
      </c>
    </row>
    <row r="3" spans="1:60">
      <c r="B3" s="7"/>
      <c r="E3" s="7"/>
      <c r="J3" s="18" t="s">
        <v>74</v>
      </c>
      <c r="K3" s="7">
        <v>2</v>
      </c>
      <c r="L3" s="7">
        <v>2</v>
      </c>
      <c r="M3" s="7">
        <v>2</v>
      </c>
      <c r="N3" s="7">
        <v>1</v>
      </c>
      <c r="O3" s="7">
        <v>2</v>
      </c>
      <c r="S3" s="7"/>
      <c r="T3" s="7" t="e">
        <f>RIGHT(#REF!,1)</f>
        <v>#REF!</v>
      </c>
      <c r="U3" s="7">
        <v>5.4793989999999999</v>
      </c>
    </row>
    <row r="4" spans="1:60">
      <c r="B4" s="7"/>
      <c r="E4" s="7"/>
      <c r="J4" s="18" t="s">
        <v>75</v>
      </c>
      <c r="K4" s="7">
        <v>1</v>
      </c>
      <c r="L4" s="7">
        <v>1</v>
      </c>
      <c r="M4" s="7">
        <v>3</v>
      </c>
      <c r="N4" s="7">
        <v>3</v>
      </c>
      <c r="O4" s="7">
        <v>3</v>
      </c>
      <c r="S4" s="7"/>
      <c r="T4" s="7" t="e">
        <f>RIGHT(#REF!,1)</f>
        <v>#REF!</v>
      </c>
      <c r="U4" s="7">
        <v>4.4793989999999999</v>
      </c>
    </row>
    <row r="5" spans="1:60" ht="45">
      <c r="A5" s="7" t="s">
        <v>97</v>
      </c>
      <c r="G5" s="8" t="s">
        <v>58</v>
      </c>
      <c r="H5" s="10"/>
      <c r="I5" s="10"/>
      <c r="J5" s="18" t="s">
        <v>102</v>
      </c>
      <c r="K5" s="18">
        <f>K1</f>
        <v>-1</v>
      </c>
      <c r="L5" s="18">
        <f t="shared" ref="L5:M5" si="0">L1</f>
        <v>-1</v>
      </c>
      <c r="M5" s="18">
        <f t="shared" si="0"/>
        <v>-1</v>
      </c>
      <c r="N5" s="18">
        <v>1</v>
      </c>
      <c r="O5" s="18">
        <v>4</v>
      </c>
      <c r="P5">
        <v>-20</v>
      </c>
      <c r="T5" t="s">
        <v>105</v>
      </c>
      <c r="U5" s="7">
        <v>100</v>
      </c>
      <c r="AZ5" t="s">
        <v>89</v>
      </c>
    </row>
    <row r="6" spans="1:60">
      <c r="A6" s="5">
        <f>SUM(A10:A63)</f>
        <v>1</v>
      </c>
      <c r="B6" s="17" t="str">
        <f>IF(AY6&gt;0,"Scenario Name Too long - see column AY","ScenarioNames are Fine (&lt;30 char)")</f>
        <v>ScenarioNames are Fine (&lt;30 char)</v>
      </c>
      <c r="D6" s="9"/>
      <c r="E6" s="4"/>
      <c r="F6" s="11"/>
      <c r="G6" s="23">
        <v>1</v>
      </c>
      <c r="H6" s="11"/>
      <c r="I6" s="11"/>
      <c r="J6" s="19" t="s">
        <v>103</v>
      </c>
      <c r="K6" s="19">
        <f>K2</f>
        <v>2</v>
      </c>
      <c r="L6" s="19">
        <f t="shared" ref="L6:M6" si="1">L2</f>
        <v>2</v>
      </c>
      <c r="M6" s="19">
        <f t="shared" si="1"/>
        <v>1</v>
      </c>
      <c r="N6" s="19">
        <v>3</v>
      </c>
      <c r="O6" s="20">
        <v>5</v>
      </c>
      <c r="P6">
        <v>-45</v>
      </c>
      <c r="R6" s="25" t="s">
        <v>26</v>
      </c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Y6">
        <f>SUM(AY10:AY42)</f>
        <v>0</v>
      </c>
    </row>
    <row r="7" spans="1:60" s="7" customFormat="1">
      <c r="A7" s="5"/>
      <c r="B7" s="17"/>
      <c r="D7" s="10"/>
      <c r="E7" s="11"/>
      <c r="F7" s="11"/>
      <c r="H7" s="11"/>
      <c r="I7" s="11"/>
      <c r="J7" s="19" t="s">
        <v>104</v>
      </c>
      <c r="K7" s="18">
        <v>2</v>
      </c>
      <c r="L7" s="18">
        <v>2</v>
      </c>
      <c r="M7" s="18">
        <v>1</v>
      </c>
      <c r="N7" s="18">
        <v>3</v>
      </c>
      <c r="O7" s="18">
        <v>4</v>
      </c>
      <c r="P7" s="7">
        <v>-20</v>
      </c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</row>
    <row r="8" spans="1:60" s="7" customFormat="1">
      <c r="A8" s="5"/>
      <c r="B8" s="17"/>
      <c r="D8" s="10"/>
      <c r="E8" s="11"/>
      <c r="F8" s="11"/>
      <c r="H8" s="11"/>
      <c r="I8" s="11"/>
      <c r="J8" s="19" t="s">
        <v>101</v>
      </c>
      <c r="K8" s="18">
        <v>-1</v>
      </c>
      <c r="L8" s="18">
        <v>-1</v>
      </c>
      <c r="M8" s="18">
        <v>-1</v>
      </c>
      <c r="N8" s="18">
        <v>1</v>
      </c>
      <c r="O8" s="18">
        <v>5</v>
      </c>
      <c r="P8" s="7">
        <v>-45</v>
      </c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</row>
    <row r="9" spans="1:60" ht="45">
      <c r="A9" s="6" t="s">
        <v>9</v>
      </c>
      <c r="B9" s="2" t="s">
        <v>34</v>
      </c>
      <c r="C9" s="2" t="s">
        <v>108</v>
      </c>
      <c r="D9" s="2" t="s">
        <v>28</v>
      </c>
      <c r="E9" s="2" t="s">
        <v>131</v>
      </c>
      <c r="F9" s="2" t="s">
        <v>33</v>
      </c>
      <c r="G9" s="8" t="s">
        <v>13</v>
      </c>
      <c r="H9" s="8" t="s">
        <v>76</v>
      </c>
      <c r="I9" s="8" t="s">
        <v>35</v>
      </c>
      <c r="J9" s="8" t="s">
        <v>36</v>
      </c>
      <c r="K9" s="8" t="s">
        <v>63</v>
      </c>
      <c r="L9" s="8" t="s">
        <v>64</v>
      </c>
      <c r="M9" s="8" t="s">
        <v>65</v>
      </c>
      <c r="N9" s="8" t="s">
        <v>67</v>
      </c>
      <c r="O9" s="8" t="s">
        <v>66</v>
      </c>
      <c r="P9" s="8" t="s">
        <v>12</v>
      </c>
      <c r="R9">
        <v>2018</v>
      </c>
      <c r="S9">
        <f>R9+1</f>
        <v>2019</v>
      </c>
      <c r="T9" s="7">
        <f t="shared" ref="T9:AX9" si="2">S9+1</f>
        <v>2020</v>
      </c>
      <c r="U9" s="7">
        <f t="shared" si="2"/>
        <v>2021</v>
      </c>
      <c r="V9" s="7">
        <f t="shared" si="2"/>
        <v>2022</v>
      </c>
      <c r="W9" s="7">
        <f t="shared" si="2"/>
        <v>2023</v>
      </c>
      <c r="X9" s="7">
        <f t="shared" si="2"/>
        <v>2024</v>
      </c>
      <c r="Y9" s="7">
        <f t="shared" si="2"/>
        <v>2025</v>
      </c>
      <c r="Z9" s="7">
        <f t="shared" si="2"/>
        <v>2026</v>
      </c>
      <c r="AA9" s="7">
        <f t="shared" si="2"/>
        <v>2027</v>
      </c>
      <c r="AB9" s="7">
        <f t="shared" si="2"/>
        <v>2028</v>
      </c>
      <c r="AC9" s="7">
        <f t="shared" si="2"/>
        <v>2029</v>
      </c>
      <c r="AD9" s="7">
        <f t="shared" si="2"/>
        <v>2030</v>
      </c>
      <c r="AE9" s="7">
        <f t="shared" si="2"/>
        <v>2031</v>
      </c>
      <c r="AF9" s="7">
        <f t="shared" si="2"/>
        <v>2032</v>
      </c>
      <c r="AG9" s="7">
        <f t="shared" si="2"/>
        <v>2033</v>
      </c>
      <c r="AH9" s="7">
        <f t="shared" si="2"/>
        <v>2034</v>
      </c>
      <c r="AI9" s="7">
        <f t="shared" si="2"/>
        <v>2035</v>
      </c>
      <c r="AJ9" s="7">
        <f t="shared" si="2"/>
        <v>2036</v>
      </c>
      <c r="AK9" s="7">
        <f t="shared" si="2"/>
        <v>2037</v>
      </c>
      <c r="AL9" s="7">
        <f t="shared" si="2"/>
        <v>2038</v>
      </c>
      <c r="AM9" s="7">
        <f t="shared" si="2"/>
        <v>2039</v>
      </c>
      <c r="AN9" s="7">
        <f t="shared" si="2"/>
        <v>2040</v>
      </c>
      <c r="AO9" s="7">
        <f t="shared" si="2"/>
        <v>2041</v>
      </c>
      <c r="AP9" s="7">
        <f t="shared" si="2"/>
        <v>2042</v>
      </c>
      <c r="AQ9" s="7">
        <f t="shared" si="2"/>
        <v>2043</v>
      </c>
      <c r="AR9" s="7">
        <f t="shared" si="2"/>
        <v>2044</v>
      </c>
      <c r="AS9" s="7">
        <f t="shared" si="2"/>
        <v>2045</v>
      </c>
      <c r="AT9" s="7">
        <f t="shared" si="2"/>
        <v>2046</v>
      </c>
      <c r="AU9" s="7">
        <f t="shared" si="2"/>
        <v>2047</v>
      </c>
      <c r="AV9" s="7">
        <f t="shared" si="2"/>
        <v>2048</v>
      </c>
      <c r="AW9" s="7">
        <f t="shared" si="2"/>
        <v>2049</v>
      </c>
      <c r="AX9" s="13">
        <f t="shared" si="2"/>
        <v>2050</v>
      </c>
      <c r="AY9" t="s">
        <v>98</v>
      </c>
      <c r="AZ9" t="s">
        <v>90</v>
      </c>
      <c r="BA9" t="s">
        <v>91</v>
      </c>
      <c r="BB9" t="s">
        <v>92</v>
      </c>
      <c r="BC9" t="s">
        <v>93</v>
      </c>
      <c r="BD9" t="s">
        <v>94</v>
      </c>
      <c r="BE9" t="s">
        <v>95</v>
      </c>
      <c r="BF9" t="s">
        <v>96</v>
      </c>
      <c r="BG9" t="s">
        <v>99</v>
      </c>
      <c r="BH9" t="s">
        <v>100</v>
      </c>
    </row>
    <row r="10" spans="1:60" s="7" customFormat="1">
      <c r="A10" s="22">
        <v>1</v>
      </c>
      <c r="B10" s="7" t="s">
        <v>107</v>
      </c>
      <c r="C10" s="7" t="s">
        <v>77</v>
      </c>
      <c r="D10" s="7" t="s">
        <v>29</v>
      </c>
      <c r="E10" s="7" t="s">
        <v>109</v>
      </c>
      <c r="F10" s="7">
        <v>0</v>
      </c>
      <c r="G10" s="7">
        <v>0</v>
      </c>
      <c r="H10" s="7" t="s">
        <v>72</v>
      </c>
      <c r="I10" s="7">
        <v>0</v>
      </c>
      <c r="J10" s="7">
        <v>0</v>
      </c>
      <c r="K10" s="7">
        <v>-1</v>
      </c>
      <c r="L10" s="7">
        <v>-1</v>
      </c>
      <c r="M10" s="7">
        <v>-1</v>
      </c>
      <c r="N10" s="7">
        <v>1</v>
      </c>
      <c r="O10" s="7">
        <v>-1</v>
      </c>
      <c r="P10" s="7">
        <v>100</v>
      </c>
      <c r="AY10" s="7">
        <v>0</v>
      </c>
      <c r="AZ10" s="7">
        <v>1</v>
      </c>
      <c r="BA10" s="7">
        <v>1</v>
      </c>
      <c r="BB10" s="7">
        <v>1</v>
      </c>
      <c r="BD10" s="7">
        <v>1</v>
      </c>
      <c r="BE10" s="7">
        <v>1</v>
      </c>
      <c r="BH10" s="7">
        <v>1</v>
      </c>
    </row>
    <row r="11" spans="1:60" s="7" customFormat="1">
      <c r="A11" s="22"/>
    </row>
    <row r="12" spans="1:60" s="7" customFormat="1">
      <c r="A12" s="22"/>
    </row>
    <row r="13" spans="1:60" s="7" customFormat="1">
      <c r="A13" s="22"/>
    </row>
    <row r="14" spans="1:60" s="7" customFormat="1">
      <c r="A14" s="22"/>
    </row>
    <row r="15" spans="1:60" s="7" customFormat="1">
      <c r="A15" s="22"/>
    </row>
    <row r="16" spans="1:60" s="7" customFormat="1">
      <c r="A16" s="22"/>
    </row>
    <row r="17" spans="1:1" s="7" customFormat="1">
      <c r="A17" s="22"/>
    </row>
    <row r="18" spans="1:1" s="7" customFormat="1" ht="14.25" customHeight="1">
      <c r="A18" s="22"/>
    </row>
    <row r="19" spans="1:1" s="7" customFormat="1" ht="16.5" customHeight="1">
      <c r="A19" s="22"/>
    </row>
    <row r="20" spans="1:1" s="7" customFormat="1" ht="17.25" customHeight="1">
      <c r="A20" s="22"/>
    </row>
    <row r="21" spans="1:1" s="7" customFormat="1">
      <c r="A21" s="22"/>
    </row>
    <row r="22" spans="1:1" s="7" customFormat="1">
      <c r="A22" s="22"/>
    </row>
    <row r="23" spans="1:1" s="7" customFormat="1">
      <c r="A23" s="22"/>
    </row>
    <row r="24" spans="1:1" s="7" customFormat="1">
      <c r="A24" s="22"/>
    </row>
    <row r="25" spans="1:1" s="7" customFormat="1">
      <c r="A25" s="22"/>
    </row>
    <row r="26" spans="1:1" s="7" customFormat="1">
      <c r="A26" s="22"/>
    </row>
    <row r="27" spans="1:1" s="7" customFormat="1">
      <c r="A27" s="22"/>
    </row>
    <row r="28" spans="1:1" s="7" customFormat="1">
      <c r="A28" s="22"/>
    </row>
    <row r="29" spans="1:1" s="7" customFormat="1">
      <c r="A29" s="22"/>
    </row>
    <row r="30" spans="1:1" s="7" customFormat="1">
      <c r="A30" s="22"/>
    </row>
    <row r="31" spans="1:1" s="7" customFormat="1">
      <c r="A31" s="22"/>
    </row>
    <row r="32" spans="1:1" s="7" customFormat="1">
      <c r="A32" s="22"/>
    </row>
    <row r="33" spans="1:4" s="7" customFormat="1">
      <c r="A33" s="22"/>
    </row>
    <row r="34" spans="1:4" s="7" customFormat="1">
      <c r="A34" s="22"/>
    </row>
    <row r="35" spans="1:4" s="7" customFormat="1">
      <c r="A35" s="22"/>
    </row>
    <row r="36" spans="1:4" s="7" customFormat="1">
      <c r="A36" s="22"/>
    </row>
    <row r="37" spans="1:4" s="7" customFormat="1">
      <c r="A37" s="22"/>
    </row>
    <row r="38" spans="1:4" s="7" customFormat="1">
      <c r="A38" s="22"/>
    </row>
    <row r="39" spans="1:4" s="7" customFormat="1">
      <c r="A39" s="22"/>
    </row>
    <row r="40" spans="1:4" s="7" customFormat="1">
      <c r="A40" s="22"/>
    </row>
    <row r="41" spans="1:4" s="7" customFormat="1">
      <c r="A41" s="22"/>
    </row>
    <row r="42" spans="1:4" s="7" customFormat="1">
      <c r="A42" s="22"/>
    </row>
    <row r="43" spans="1:4">
      <c r="A43" s="22"/>
    </row>
    <row r="44" spans="1:4">
      <c r="A44" s="22"/>
    </row>
    <row r="45" spans="1:4">
      <c r="A45" s="22"/>
    </row>
    <row r="46" spans="1:4">
      <c r="A46" s="22"/>
    </row>
    <row r="47" spans="1:4">
      <c r="A47" s="22"/>
    </row>
    <row r="48" spans="1:4">
      <c r="A48" s="22"/>
    </row>
    <row r="49" spans="1:1">
      <c r="A49" s="22"/>
    </row>
    <row r="50" spans="1:1">
      <c r="A50" s="22"/>
    </row>
    <row r="51" spans="1:1">
      <c r="A51" s="22"/>
    </row>
    <row r="52" spans="1:1">
      <c r="A52" s="22"/>
    </row>
    <row r="53" spans="1:1">
      <c r="A53" s="22"/>
    </row>
    <row r="54" spans="1:1">
      <c r="A54" s="22"/>
    </row>
    <row r="55" spans="1:1">
      <c r="A55" s="22"/>
    </row>
    <row r="56" spans="1:1">
      <c r="A56" s="22"/>
    </row>
  </sheetData>
  <autoFilter ref="A9:BH42" xr:uid="{00000000-0001-0000-0E00-000000000000}"/>
  <sortState xmlns:xlrd2="http://schemas.microsoft.com/office/spreadsheetml/2017/richdata2" ref="A10:BH42">
    <sortCondition ref="B10:B42"/>
  </sortState>
  <mergeCells count="1">
    <mergeCell ref="R6:AE6"/>
  </mergeCells>
  <phoneticPr fontId="34" type="noConversion"/>
  <conditionalFormatting sqref="A43:A1048576 A1:A9">
    <cfRule type="iconSet" priority="763">
      <iconSet>
        <cfvo type="percent" val="0"/>
        <cfvo type="percent" val="33"/>
        <cfvo type="percent" val="67"/>
      </iconSet>
    </cfRule>
  </conditionalFormatting>
  <conditionalFormatting sqref="A38 A41">
    <cfRule type="iconSet" priority="44">
      <iconSet>
        <cfvo type="percent" val="0"/>
        <cfvo type="percent" val="33"/>
        <cfvo type="percent" val="67"/>
      </iconSet>
    </cfRule>
  </conditionalFormatting>
  <conditionalFormatting sqref="A39 A42">
    <cfRule type="iconSet" priority="38">
      <iconSet>
        <cfvo type="percent" val="0"/>
        <cfvo type="percent" val="33"/>
        <cfvo type="percent" val="67"/>
      </iconSet>
    </cfRule>
  </conditionalFormatting>
  <conditionalFormatting sqref="A38:A42">
    <cfRule type="iconSet" priority="32">
      <iconSet>
        <cfvo type="percent" val="0"/>
        <cfvo type="percent" val="33"/>
        <cfvo type="percent" val="67"/>
      </iconSet>
    </cfRule>
  </conditionalFormatting>
  <conditionalFormatting sqref="A38:A42">
    <cfRule type="iconSet" priority="31">
      <iconSet>
        <cfvo type="percent" val="0"/>
        <cfvo type="percent" val="33"/>
        <cfvo type="percent" val="67"/>
      </iconSet>
    </cfRule>
  </conditionalFormatting>
  <conditionalFormatting sqref="A38:A42">
    <cfRule type="iconSet" priority="30">
      <iconSet>
        <cfvo type="percent" val="0"/>
        <cfvo type="percent" val="33"/>
        <cfvo type="percent" val="67"/>
      </iconSet>
    </cfRule>
  </conditionalFormatting>
  <conditionalFormatting sqref="A38:A42">
    <cfRule type="iconSet" priority="29">
      <iconSet>
        <cfvo type="percent" val="0"/>
        <cfvo type="percent" val="33"/>
        <cfvo type="percent" val="67"/>
      </iconSet>
    </cfRule>
  </conditionalFormatting>
  <conditionalFormatting sqref="A38:A42">
    <cfRule type="iconSet" priority="28">
      <iconSet>
        <cfvo type="percent" val="0"/>
        <cfvo type="percent" val="33"/>
        <cfvo type="percent" val="67"/>
      </iconSet>
    </cfRule>
  </conditionalFormatting>
  <conditionalFormatting sqref="A38:A42">
    <cfRule type="iconSet" priority="33">
      <iconSet>
        <cfvo type="percent" val="0"/>
        <cfvo type="percent" val="33"/>
        <cfvo type="percent" val="67"/>
      </iconSet>
    </cfRule>
  </conditionalFormatting>
  <conditionalFormatting sqref="A10:A56">
    <cfRule type="iconSet" priority="895">
      <iconSet>
        <cfvo type="percent" val="0"/>
        <cfvo type="percent" val="33"/>
        <cfvo type="percent" val="67"/>
      </iconSet>
    </cfRule>
  </conditionalFormatting>
  <conditionalFormatting sqref="A11:A42">
    <cfRule type="iconSet" priority="897">
      <iconSet>
        <cfvo type="percent" val="0"/>
        <cfvo type="percent" val="33"/>
        <cfvo type="percent" val="67"/>
      </iconSet>
    </cfRule>
  </conditionalFormatting>
  <conditionalFormatting sqref="A10:A42">
    <cfRule type="iconSet" priority="898">
      <iconSet>
        <cfvo type="percent" val="0"/>
        <cfvo type="percent" val="33"/>
        <cfvo type="percent" val="67"/>
      </iconSet>
    </cfRule>
  </conditionalFormatting>
  <conditionalFormatting sqref="A10">
    <cfRule type="iconSet" priority="900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H10:H42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D10:D42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I73"/>
  <sheetViews>
    <sheetView topLeftCell="D1" workbookViewId="0">
      <selection activeCell="E25" sqref="E25"/>
    </sheetView>
  </sheetViews>
  <sheetFormatPr defaultRowHeight="15"/>
  <cols>
    <col min="3" max="3" width="68.140625" bestFit="1" customWidth="1"/>
    <col min="4" max="4" width="9.85546875" style="24" customWidth="1"/>
    <col min="5" max="5" width="15.140625" customWidth="1"/>
    <col min="8" max="8" width="56.140625" customWidth="1"/>
    <col min="9" max="9" width="130.28515625" bestFit="1" customWidth="1"/>
  </cols>
  <sheetData>
    <row r="1" spans="3:9" s="7" customFormat="1">
      <c r="C1" s="2"/>
      <c r="D1" s="24"/>
      <c r="E1" s="2"/>
    </row>
    <row r="2" spans="3:9" s="7" customFormat="1">
      <c r="C2" s="2"/>
      <c r="D2" s="24"/>
      <c r="E2" s="7" t="s">
        <v>121</v>
      </c>
    </row>
    <row r="3" spans="3:9" s="7" customFormat="1">
      <c r="D3" s="24">
        <v>1</v>
      </c>
      <c r="E3" s="7" t="s">
        <v>111</v>
      </c>
    </row>
    <row r="4" spans="3:9" s="7" customFormat="1">
      <c r="D4" s="24">
        <v>1</v>
      </c>
      <c r="E4" s="7" t="s">
        <v>113</v>
      </c>
      <c r="I4" s="2"/>
    </row>
    <row r="5" spans="3:9" s="7" customFormat="1">
      <c r="D5" s="24">
        <v>1</v>
      </c>
      <c r="E5" s="7" t="s">
        <v>134</v>
      </c>
      <c r="I5"/>
    </row>
    <row r="6" spans="3:9" s="7" customFormat="1">
      <c r="D6" s="24">
        <v>1</v>
      </c>
      <c r="E6" s="7" t="s">
        <v>115</v>
      </c>
      <c r="I6"/>
    </row>
    <row r="7" spans="3:9" s="7" customFormat="1">
      <c r="D7" s="24">
        <v>1</v>
      </c>
      <c r="E7" s="7" t="s">
        <v>114</v>
      </c>
      <c r="I7"/>
    </row>
    <row r="8" spans="3:9">
      <c r="C8" s="2"/>
      <c r="D8" s="24">
        <v>1</v>
      </c>
      <c r="E8" s="7" t="s">
        <v>116</v>
      </c>
    </row>
    <row r="9" spans="3:9">
      <c r="D9" s="24">
        <v>1</v>
      </c>
      <c r="E9" s="7" t="s">
        <v>117</v>
      </c>
    </row>
    <row r="10" spans="3:9">
      <c r="C10" s="2"/>
      <c r="D10" s="24">
        <v>1</v>
      </c>
      <c r="E10" t="s">
        <v>118</v>
      </c>
    </row>
    <row r="11" spans="3:9">
      <c r="D11" s="24">
        <v>1</v>
      </c>
      <c r="E11" t="s">
        <v>119</v>
      </c>
    </row>
    <row r="12" spans="3:9">
      <c r="D12" s="24">
        <v>1</v>
      </c>
      <c r="E12" t="s">
        <v>120</v>
      </c>
    </row>
    <row r="13" spans="3:9">
      <c r="C13" s="2"/>
      <c r="D13" s="24">
        <v>1</v>
      </c>
      <c r="E13" s="7" t="s">
        <v>132</v>
      </c>
    </row>
    <row r="14" spans="3:9">
      <c r="D14" s="24">
        <v>1</v>
      </c>
      <c r="E14" s="7" t="s">
        <v>133</v>
      </c>
    </row>
    <row r="17" spans="3:9">
      <c r="D17" s="24">
        <v>1</v>
      </c>
      <c r="E17" t="s">
        <v>122</v>
      </c>
      <c r="H17" s="7"/>
    </row>
    <row r="18" spans="3:9">
      <c r="E18" t="s">
        <v>112</v>
      </c>
      <c r="H18" s="7"/>
    </row>
    <row r="19" spans="3:9">
      <c r="D19" s="24">
        <v>1</v>
      </c>
      <c r="E19" s="7" t="s">
        <v>110</v>
      </c>
    </row>
    <row r="20" spans="3:9">
      <c r="D20" s="24">
        <v>1</v>
      </c>
      <c r="E20" t="s">
        <v>123</v>
      </c>
    </row>
    <row r="21" spans="3:9">
      <c r="D21" s="24">
        <v>1</v>
      </c>
      <c r="E21" s="7" t="s">
        <v>124</v>
      </c>
    </row>
    <row r="22" spans="3:9">
      <c r="C22" s="2"/>
      <c r="D22" s="24">
        <v>1</v>
      </c>
      <c r="E22" s="7" t="s">
        <v>125</v>
      </c>
    </row>
    <row r="23" spans="3:9" s="7" customFormat="1">
      <c r="C23" s="2"/>
      <c r="D23" s="24"/>
    </row>
    <row r="24" spans="3:9" s="7" customFormat="1">
      <c r="C24" s="2"/>
      <c r="D24" s="24"/>
      <c r="E24" s="7" t="s">
        <v>140</v>
      </c>
    </row>
    <row r="25" spans="3:9" s="7" customFormat="1">
      <c r="C25" s="2"/>
      <c r="D25" s="24"/>
    </row>
    <row r="27" spans="3:9">
      <c r="E27" t="s">
        <v>135</v>
      </c>
    </row>
    <row r="28" spans="3:9">
      <c r="I28" s="15"/>
    </row>
    <row r="29" spans="3:9">
      <c r="E29" t="s">
        <v>137</v>
      </c>
    </row>
    <row r="31" spans="3:9">
      <c r="C31" s="2"/>
      <c r="E31" t="s">
        <v>136</v>
      </c>
    </row>
    <row r="32" spans="3:9">
      <c r="E32" t="s">
        <v>138</v>
      </c>
    </row>
    <row r="34" spans="3:9" s="7" customFormat="1">
      <c r="D34" s="24"/>
      <c r="E34" s="7" t="s">
        <v>139</v>
      </c>
      <c r="I34"/>
    </row>
    <row r="35" spans="3:9" s="7" customFormat="1">
      <c r="D35" s="24"/>
      <c r="I35"/>
    </row>
    <row r="36" spans="3:9">
      <c r="C36" s="2"/>
    </row>
    <row r="41" spans="3:9">
      <c r="C41" s="2"/>
    </row>
    <row r="46" spans="3:9">
      <c r="C46" s="2"/>
    </row>
    <row r="52" spans="3:9">
      <c r="C52" s="2"/>
    </row>
    <row r="53" spans="3:9">
      <c r="C53" s="7"/>
      <c r="I53" s="2"/>
    </row>
    <row r="54" spans="3:9">
      <c r="C54" s="7"/>
    </row>
    <row r="55" spans="3:9">
      <c r="C55" s="7"/>
    </row>
    <row r="58" spans="3:9">
      <c r="C58" s="2"/>
    </row>
    <row r="59" spans="3:9">
      <c r="C59" s="7"/>
    </row>
    <row r="60" spans="3:9">
      <c r="C60" s="7"/>
    </row>
    <row r="61" spans="3:9">
      <c r="C61" s="7"/>
    </row>
    <row r="64" spans="3:9">
      <c r="C64" s="2"/>
    </row>
    <row r="69" spans="3:9">
      <c r="C69" s="2"/>
    </row>
    <row r="73" spans="3:9">
      <c r="I73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</cp:lastModifiedBy>
  <dcterms:created xsi:type="dcterms:W3CDTF">2014-09-01T09:42:43Z</dcterms:created>
  <dcterms:modified xsi:type="dcterms:W3CDTF">2022-10-17T06:57:24Z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