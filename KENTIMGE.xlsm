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9BA67C44-754A-469C-87B1-619877973144}" xr6:coauthVersionLast="47" xr6:coauthVersionMax="47" xr10:uidLastSave="{00000000-0000-0000-0000-000000000000}"/>
  <bookViews>
    <workbookView xWindow="1950" yWindow="1950" windowWidth="21600" windowHeight="113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79" r:id="rId9"/>
    <pivotCache cacheId="48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<sst xmlns="http://schemas.openxmlformats.org/spreadsheetml/2006/main" count="259" uniqueCount="148">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</sst>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90.958133564818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NDCL1" u="1"/>
        <s v="BASE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90.958135069443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0"/>
    <s v="No Pams"/>
    <n v="0"/>
    <n v="0"/>
    <n v="-1"/>
    <n v="-1"/>
    <n v="-1"/>
    <n v="1"/>
    <n v="-1"/>
    <n v="100"/>
  </r>
  <r>
    <n v="0"/>
    <x v="2"/>
    <s v="yes tested"/>
    <x v="0"/>
    <x v="2"/>
    <n v="0"/>
    <n v="1"/>
    <s v="No Pams"/>
    <n v="0"/>
    <n v="0"/>
    <n v="-1"/>
    <n v="-1"/>
    <n v="-1"/>
    <n v="1"/>
    <n v="-1"/>
    <n v="100"/>
  </r>
  <r>
    <n v="1"/>
    <x v="3"/>
    <s v="yes tested"/>
    <x v="0"/>
    <x v="3"/>
    <n v="0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s v="base"/>
    <s v="REF"/>
    <n v="0"/>
    <n v="1"/>
    <s v="No Pams"/>
    <n v="0"/>
    <n v="0"/>
    <n v="-1"/>
    <n v="-1"/>
    <n v="-1"/>
    <n v="1"/>
    <n v="-1"/>
    <n v="100"/>
  </r>
  <r>
    <n v="0"/>
    <x v="1"/>
    <s v="yes tested"/>
    <s v="base"/>
    <s v="REF_FLXGAS"/>
    <n v="0"/>
    <n v="0"/>
    <s v="No Pams"/>
    <n v="0"/>
    <n v="0"/>
    <n v="-1"/>
    <n v="-1"/>
    <n v="-1"/>
    <n v="1"/>
    <n v="-1"/>
    <n v="100"/>
  </r>
  <r>
    <n v="0"/>
    <x v="2"/>
    <s v="yes tested"/>
    <s v="base"/>
    <s v="NDCMODNFG"/>
    <n v="0"/>
    <n v="1"/>
    <s v="No Pams"/>
    <n v="0"/>
    <n v="0"/>
    <n v="-1"/>
    <n v="-1"/>
    <n v="-1"/>
    <n v="1"/>
    <n v="-1"/>
    <n v="100"/>
  </r>
  <r>
    <n v="1"/>
    <x v="3"/>
    <s v="yes tested"/>
    <s v="base"/>
    <s v="NDCMODFG"/>
    <n v="0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4"/>
        <item m="1" x="6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79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8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7"/>
        <item x="4"/>
        <item m="1" x="6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7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R1" workbookViewId="0">
      <selection activeCell="AE8" sqref="AE8"/>
    </sheetView>
  </sheetViews>
  <sheetFormatPr defaultRowHeight="15"/>
  <cols>
    <col min="1" max="1" width="18.28515625" bestFit="1" customWidth="1"/>
    <col min="2" max="2" width="13.140625" bestFit="1" customWidth="1"/>
    <col min="3" max="3" width="13.140625" customWidth="1"/>
    <col min="4" max="4" width="13.140625" bestFit="1" customWidth="1"/>
    <col min="5" max="5" width="18.28515625" bestFit="1" customWidth="1"/>
    <col min="6" max="6" width="23" bestFit="1" customWidth="1"/>
    <col min="7" max="7" width="18.28515625" bestFit="1" customWidth="1"/>
    <col min="8" max="8" width="19.85546875" bestFit="1" customWidth="1"/>
    <col min="9" max="9" width="18.28515625" bestFit="1" customWidth="1"/>
    <col min="10" max="10" width="18.5703125" bestFit="1" customWidth="1"/>
    <col min="11" max="11" width="18.28515625" bestFit="1" customWidth="1"/>
    <col min="12" max="12" width="20.7109375" bestFit="1" customWidth="1"/>
    <col min="13" max="13" width="18.28515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8.28515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8.28515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2040</v>
      </c>
      <c r="AF7">
        <v>2015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0</v>
      </c>
      <c r="G8" s="9" t="s">
        <v>142</v>
      </c>
      <c r="H8" s="20">
        <v>0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F8">
        <v>2016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1</v>
      </c>
      <c r="G9" s="9" t="s">
        <v>144</v>
      </c>
      <c r="H9" s="20">
        <v>0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F9">
        <v>2017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0</v>
      </c>
      <c r="G10" s="9" t="s">
        <v>145</v>
      </c>
      <c r="H10" s="20">
        <v>0</v>
      </c>
      <c r="I10" s="9" t="s">
        <v>145</v>
      </c>
      <c r="J10" s="20">
        <v>0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0</v>
      </c>
      <c r="G11" s="9" t="s">
        <v>146</v>
      </c>
      <c r="H11" s="20">
        <v>0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F29">
        <v>2037</v>
      </c>
    </row>
    <row r="30" spans="30:39">
      <c r="AF30">
        <v>2038</v>
      </c>
    </row>
    <row r="31" spans="30:39">
      <c r="AF31">
        <v>2039</v>
      </c>
    </row>
    <row r="32" spans="30:39">
      <c r="AF32">
        <v>2040</v>
      </c>
    </row>
    <row r="33" spans="32:32">
      <c r="AF33">
        <v>2041</v>
      </c>
    </row>
    <row r="34" spans="32:32">
      <c r="AF34">
        <v>2042</v>
      </c>
    </row>
    <row r="35" spans="32:32">
      <c r="AF35">
        <v>2043</v>
      </c>
    </row>
    <row r="36" spans="32:32">
      <c r="AF36">
        <v>2044</v>
      </c>
    </row>
    <row r="37" spans="32:32">
      <c r="AF37">
        <v>2045</v>
      </c>
    </row>
    <row r="38" spans="32:32">
      <c r="AF38">
        <v>2046</v>
      </c>
    </row>
    <row r="39" spans="32:32">
      <c r="AF39">
        <v>2047</v>
      </c>
    </row>
    <row r="40" spans="32:32">
      <c r="AF40">
        <v>2048</v>
      </c>
    </row>
    <row r="41" spans="32:32">
      <c r="AF41">
        <v>2049</v>
      </c>
    </row>
    <row r="42" spans="32:32"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5" sqref="G15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146</v>
      </c>
      <c r="C10" t="s">
        <v>77</v>
      </c>
      <c r="D10" t="s">
        <v>29</v>
      </c>
      <c r="E10" t="s">
        <v>140</v>
      </c>
      <c r="F10">
        <v>0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145</v>
      </c>
      <c r="C11" t="s">
        <v>77</v>
      </c>
      <c r="D11" t="s">
        <v>29</v>
      </c>
      <c r="E11" t="s">
        <v>141</v>
      </c>
      <c r="F11">
        <v>0</v>
      </c>
      <c r="G11">
        <v>0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142</v>
      </c>
      <c r="C12" t="s">
        <v>77</v>
      </c>
      <c r="D12" t="s">
        <v>29</v>
      </c>
      <c r="E12" t="s">
        <v>143</v>
      </c>
      <c r="F12">
        <v>0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1</v>
      </c>
      <c r="B13" t="s">
        <v>144</v>
      </c>
      <c r="C13" t="s">
        <v>77</v>
      </c>
      <c r="D13" t="s">
        <v>29</v>
      </c>
      <c r="E13" t="s">
        <v>147</v>
      </c>
      <c r="F13">
        <v>0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2023-03-05T20:59:44Z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