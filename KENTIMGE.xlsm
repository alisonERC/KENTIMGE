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KENTIMGE\"/>
    </mc:Choice>
  </mc:AlternateContent>
  <xr:revisionPtr revIDLastSave="0" documentId="13_ncr:1_{79D482BF-2B71-4342-9238-CCC5199710A0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78" r:id="rId9"/>
    <pivotCache cacheId="8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tc={282B0F2A-2BA1-4316-A4A7-A2B8C6640975}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82B0F2A-2BA1-4316-A4A7-A2B8C66409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<sst xmlns="http://schemas.openxmlformats.org/spreadsheetml/2006/main" count="259" uniqueCount="148">
  <si>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</si>
  <si>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</si>
  <si>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</si>
  <si>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</si>
  <si>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</si>
  <si>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</si>
  <si>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</si>
  <si>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</si>
  <si>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</si>
  <si>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</si>
  <si>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</si>
  <si>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</si>
  <si>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</si>
  <si>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</si>
  <si>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</si>
  <si>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</si>
  <si>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</si>
  <si>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</si>
  <si>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</si>
  <si>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</si>
  <si>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</si>
  <si>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</si>
  <si>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</si>
  <si>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</si>
  <si>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</si>
  <si>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</si>
  <si>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</si>
  <si>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</si>
  <si>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</si>
  <si>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</si>
  <si>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</si>
  <si>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</si>
  <si>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</si>
  <si>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</si>
  <si>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</si>
  <si>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</si>
  <si>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</si>
  <si>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</si>
  <si>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</si>
  <si>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</si>
  <si>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</si>
  <si>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</si>
  <si>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</si>
  <si>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</si>
  <si>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</si>
  <si>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</si>
  <si>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</si>
  <si>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</si>
  <si>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</si>
  <si>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</si>
  <si>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</si>
  <si>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</si>
  <si>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</si>
  <si>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</si>
  <si>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</si>
  <si>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</si>
  <si>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</si>
  <si>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</si>
  <si>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</si>
  <si>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</si>
  <si>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</si>
  <si>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</si>
  <si>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</si>
  <si>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</si>
  <si>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</si>
  <si>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</si>
  <si>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</si>
  <si>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</si>
  <si>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</si>
  <si>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</si>
  <si>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</si>
  <si>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</si>
  <si>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</si>
  <si>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</si>
  <si>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</si>
  <si>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</si>
  <si>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</si>
  <si>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</si>
  <si>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</si>
  <si>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</si>
  <si>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</si>
  <si>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</si>
  <si>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</si>
  <si>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</si>
  <si>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</si>
  <si>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</si>
  <si>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</si>
  <si>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</si>
  <si>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</si>
  <si>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</si>
  <si>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</si>
  <si>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</si>
  <si>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</si>
  <si>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</si>
  <si>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</si>
  <si>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</si>
  <si>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</si>
  <si>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</si>
  <si>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</si>
  <si>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</si>
  <si>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</si>
  <si>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</si>
  <si>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</si>
  <si>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</si>
  <si>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</si>
  <si>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</si>
  <si>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</si>
  <si>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Configured in TIMES?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</si>
  <si>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</si>
  <si>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</si>
  <si>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</si>
  <si>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</si>
  <si>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</si>
  <si>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</si>
  <si>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</si>
  <si>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</si>
  <si>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</si>
  <si>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</si>
  <si>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</si>
  <si>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</si>
  <si>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</si>
  <si>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</si>
  <si>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</si>
  <si>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</si>
  <si>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</si>
  <si>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</si>
  <si>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</si>
  <si>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</si>
  <si>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</si>
  <si>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</si>
  <si>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</si>
  <si>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</si>
  <si>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</si>
  <si>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</si>
  <si>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</si>
  <si>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</si>
  <si>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</si>
  <si>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</si>
  <si>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</si>
  <si>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(blank)</t>
  </si>
  <si>
    <t>REF</t>
  </si>
  <si>
    <t>REF_FLXGAS</t>
  </si>
  <si>
    <t>NDC_BigGas</t>
  </si>
  <si>
    <t>NDCMODNFG</t>
  </si>
  <si>
    <t>NDC_FlexGas</t>
  </si>
  <si>
    <t>Reference_FlexGas</t>
  </si>
  <si>
    <t>Reference_BigGas</t>
  </si>
  <si>
    <t>NDCMODFG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</si>
</sst>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55.699458449075" createdVersion="6" refreshedVersion="8" minRefreshableVersion="3" recordCount="50" xr:uid="{C0EB43E8-6CC6-4DE4-B7F1-02B09F7BA69A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8">
        <s v="REF"/>
        <s v="REF_FLXGAS"/>
        <s v="NDCMODNFG"/>
        <s v="NDCMODFG"/>
        <m/>
        <s v="NDCL2" u="1"/>
        <s v="NDCL1" u="1"/>
        <s v="BASE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55.699462500001" createdVersion="6" refreshedVersion="8" minRefreshableVersion="3" recordCount="50" xr:uid="{D229C3DF-142A-4D15-BB2C-2EA205AB0203}">
  <cacheSource type="worksheet">
    <worksheetSource ref="A9:P9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0"/>
    <s v="No Pams"/>
    <n v="0"/>
    <n v="0"/>
    <n v="-1"/>
    <n v="-1"/>
    <n v="-1"/>
    <n v="1"/>
    <n v="-1"/>
    <n v="100"/>
  </r>
  <r>
    <n v="0"/>
    <x v="2"/>
    <s v="yes tested"/>
    <x v="0"/>
    <x v="2"/>
    <n v="0"/>
    <n v="1"/>
    <s v="No Pams"/>
    <n v="0"/>
    <n v="0"/>
    <n v="-1"/>
    <n v="-1"/>
    <n v="-1"/>
    <n v="1"/>
    <n v="-1"/>
    <n v="100"/>
  </r>
  <r>
    <n v="1"/>
    <x v="3"/>
    <s v="yes tested"/>
    <x v="0"/>
    <x v="3"/>
    <n v="0"/>
    <n v="1"/>
    <s v="No Pams"/>
    <n v="0"/>
    <n v="0"/>
    <n v="-1"/>
    <n v="-1"/>
    <n v="-1"/>
    <n v="1"/>
    <n v="-1"/>
    <n v="100"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0"/>
    <x v="0"/>
    <s v="yes tested"/>
    <s v="base"/>
    <s v="REF"/>
    <n v="0"/>
    <n v="1"/>
    <s v="No Pams"/>
    <n v="0"/>
    <n v="0"/>
    <n v="-1"/>
    <n v="-1"/>
    <n v="-1"/>
    <n v="1"/>
    <n v="-1"/>
    <n v="100"/>
  </r>
  <r>
    <n v="0"/>
    <x v="1"/>
    <s v="yes tested"/>
    <s v="base"/>
    <s v="REF_FLXGAS"/>
    <n v="0"/>
    <n v="0"/>
    <s v="No Pams"/>
    <n v="0"/>
    <n v="0"/>
    <n v="-1"/>
    <n v="-1"/>
    <n v="-1"/>
    <n v="1"/>
    <n v="-1"/>
    <n v="100"/>
  </r>
  <r>
    <n v="0"/>
    <x v="2"/>
    <s v="yes tested"/>
    <s v="base"/>
    <s v="NDCMODNFG"/>
    <n v="0"/>
    <n v="1"/>
    <s v="No Pams"/>
    <n v="0"/>
    <n v="0"/>
    <n v="-1"/>
    <n v="-1"/>
    <n v="-1"/>
    <n v="1"/>
    <n v="-1"/>
    <n v="100"/>
  </r>
  <r>
    <n v="1"/>
    <x v="3"/>
    <s v="yes tested"/>
    <s v="base"/>
    <s v="NDCMODFG"/>
    <n v="0"/>
    <n v="1"/>
    <s v="No Pams"/>
    <n v="0"/>
    <n v="0"/>
    <n v="-1"/>
    <n v="-1"/>
    <n v="-1"/>
    <n v="1"/>
    <n v="-1"/>
    <n v="100"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m="1" x="7"/>
        <item x="4"/>
        <item m="1" x="6"/>
        <item m="1" x="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">
    <i>
      <x/>
      <x v="1"/>
    </i>
    <i>
      <x v="2"/>
      <x v="6"/>
    </i>
    <i>
      <x v="3"/>
      <x v="7"/>
    </i>
    <i>
      <x v="4"/>
      <x v="5"/>
    </i>
    <i>
      <x v="5"/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" firstHeaderRow="0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81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" firstHeaderRow="1" firstDataRow="1" firstDataCol="1"/>
  <pivotFields count="16">
    <pivotField showAll="0"/>
    <pivotField axis="axisRow" showAll="0">
      <items count="7">
        <item m="1" x="5"/>
        <item x="4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1" firstHeaderRow="1" firstDataRow="1" firstDataCol="1"/>
  <pivotFields count="16">
    <pivotField showAll="0"/>
    <pivotField showAll="0"/>
    <pivotField showAll="0"/>
    <pivotField showAll="0"/>
    <pivotField axis="axisRow" showAll="0">
      <items count="9">
        <item m="1" x="7"/>
        <item x="4"/>
        <item m="1" x="6"/>
        <item m="1" x="5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 v="1"/>
    </i>
    <i>
      <x v="4"/>
    </i>
    <i>
      <x v="5"/>
    </i>
    <i>
      <x v="6"/>
    </i>
    <i>
      <x v="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">
    <i>
      <x/>
      <x v="2"/>
    </i>
    <i>
      <x v="2"/>
      <x/>
    </i>
    <i>
      <x v="3"/>
      <x/>
    </i>
    <i>
      <x v="4"/>
      <x/>
    </i>
    <i>
      <x v="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7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78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" firstHeaderRow="1" firstDataRow="1" firstDataCol="1"/>
  <pivotFields count="16">
    <pivotField dataField="1"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82B0F2A-2BA1-4316-A4A7-A2B8C6640975}">
    <text>Note that there is still a problem running with other cases here - still looking into it.</text>
  </threadedComment>
  <threadedComment ref="D12" dT="2020-08-07T12:32:29.60" personId="{8A307EF1-062C-4DD1-801F-D45833AE4B68}" id="{784CACC1-90BC-4351-B57D-234D5FCD47FD}">
    <text>Note that there is still a problem running with other cases here - still looking into it.</text>
  </threadedComment>
  <threadedComment ref="D13" dT="2020-08-07T12:32:29.60" personId="{8A307EF1-062C-4DD1-801F-D45833AE4B68}" id="{2E057A1D-61F2-468B-8278-F722F83FC647}">
    <text>Note that there is still a problem running with other cases here - still looking into it.</text>
  </threadedComment>
  <threadedComment ref="D4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124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125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topLeftCell="P1" workbookViewId="0">
      <selection activeCell="AE8" sqref="AE8"/>
    </sheetView>
  </sheetViews>
  <sheetFormatPr defaultRowHeight="15"/>
  <cols>
    <col min="1" max="1" width="18.28515625" bestFit="1" customWidth="1"/>
    <col min="2" max="2" width="13.140625" bestFit="1" customWidth="1"/>
    <col min="3" max="3" width="13.140625" customWidth="1"/>
    <col min="4" max="4" width="13.140625" bestFit="1" customWidth="1"/>
    <col min="5" max="5" width="18.28515625" bestFit="1" customWidth="1"/>
    <col min="6" max="6" width="23" bestFit="1" customWidth="1"/>
    <col min="7" max="7" width="18.28515625" bestFit="1" customWidth="1"/>
    <col min="8" max="8" width="19.85546875" bestFit="1" customWidth="1"/>
    <col min="9" max="9" width="18.28515625" bestFit="1" customWidth="1"/>
    <col min="10" max="10" width="18.5703125" bestFit="1" customWidth="1"/>
    <col min="11" max="11" width="18.28515625" bestFit="1" customWidth="1"/>
    <col min="12" max="12" width="20.7109375" bestFit="1" customWidth="1"/>
    <col min="13" max="13" width="18.28515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8.28515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8.28515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126</v>
      </c>
      <c r="I5" s="1" t="s">
        <v>78</v>
      </c>
      <c r="K5" s="1" t="s">
        <v>80</v>
      </c>
      <c r="M5" s="1" t="s">
        <v>81</v>
      </c>
      <c r="O5" s="1" t="s">
        <v>127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128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129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139</v>
      </c>
      <c r="B7" s="9" t="s">
        <v>139</v>
      </c>
      <c r="C7" s="8" t="s">
        <v>29</v>
      </c>
      <c r="D7" s="9" t="s">
        <v>29</v>
      </c>
      <c r="E7" s="9" t="s">
        <v>139</v>
      </c>
      <c r="F7" s="20">
        <v>0</v>
      </c>
      <c r="G7" s="9" t="s">
        <v>139</v>
      </c>
      <c r="H7" s="20"/>
      <c r="I7" s="9" t="s">
        <v>139</v>
      </c>
      <c r="J7" s="20"/>
      <c r="K7" s="9" t="s">
        <v>139</v>
      </c>
      <c r="L7" s="20"/>
      <c r="M7" s="9" t="s">
        <v>139</v>
      </c>
      <c r="N7" s="20"/>
      <c r="O7" t="s">
        <v>139</v>
      </c>
      <c r="P7" t="s">
        <v>139</v>
      </c>
      <c r="Q7" t="s">
        <v>139</v>
      </c>
      <c r="R7" t="s">
        <v>139</v>
      </c>
      <c r="S7" s="9" t="s">
        <v>139</v>
      </c>
      <c r="T7" s="20"/>
      <c r="U7" s="20"/>
      <c r="V7" s="20"/>
      <c r="W7" s="20"/>
      <c r="X7" s="20"/>
      <c r="AA7" s="9" t="s">
        <v>139</v>
      </c>
      <c r="AB7" s="20"/>
      <c r="AD7" s="10">
        <v>2019</v>
      </c>
      <c r="AE7" s="10">
        <v>2050</v>
      </c>
      <c r="AF7">
        <v>2015</v>
      </c>
      <c r="AI7" s="10">
        <v>2030</v>
      </c>
      <c r="AM7" t="s">
        <v>14</v>
      </c>
    </row>
    <row r="8" spans="1:39">
      <c r="A8" s="9" t="s">
        <v>142</v>
      </c>
      <c r="B8" s="9" t="s">
        <v>140</v>
      </c>
      <c r="C8" s="9" t="s">
        <v>30</v>
      </c>
      <c r="D8" s="9" t="s">
        <v>139</v>
      </c>
      <c r="E8" s="9" t="s">
        <v>142</v>
      </c>
      <c r="F8" s="20">
        <v>0</v>
      </c>
      <c r="G8" s="9" t="s">
        <v>142</v>
      </c>
      <c r="H8" s="20">
        <v>0</v>
      </c>
      <c r="I8" s="9" t="s">
        <v>142</v>
      </c>
      <c r="J8" s="20">
        <v>1</v>
      </c>
      <c r="K8" s="9" t="s">
        <v>142</v>
      </c>
      <c r="L8" s="20">
        <v>0</v>
      </c>
      <c r="M8" s="9" t="s">
        <v>142</v>
      </c>
      <c r="N8" s="20">
        <v>0</v>
      </c>
      <c r="O8" t="s">
        <v>142</v>
      </c>
      <c r="P8" t="s">
        <v>143</v>
      </c>
      <c r="Q8" t="s">
        <v>142</v>
      </c>
      <c r="R8" t="s">
        <v>29</v>
      </c>
      <c r="S8" s="9" t="s">
        <v>142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142</v>
      </c>
      <c r="AB8" s="20">
        <v>100</v>
      </c>
      <c r="AD8" s="10">
        <v>2020</v>
      </c>
      <c r="AF8">
        <v>2016</v>
      </c>
      <c r="AI8" s="10">
        <v>2035</v>
      </c>
      <c r="AM8" t="s">
        <v>15</v>
      </c>
    </row>
    <row r="9" spans="1:39">
      <c r="A9" s="9" t="s">
        <v>144</v>
      </c>
      <c r="B9" s="9" t="s">
        <v>141</v>
      </c>
      <c r="C9" s="9" t="s">
        <v>31</v>
      </c>
      <c r="E9" s="9" t="s">
        <v>144</v>
      </c>
      <c r="F9" s="20">
        <v>1</v>
      </c>
      <c r="G9" s="9" t="s">
        <v>144</v>
      </c>
      <c r="H9" s="20">
        <v>0</v>
      </c>
      <c r="I9" s="9" t="s">
        <v>144</v>
      </c>
      <c r="J9" s="20">
        <v>1</v>
      </c>
      <c r="K9" s="9" t="s">
        <v>144</v>
      </c>
      <c r="L9" s="20">
        <v>0</v>
      </c>
      <c r="M9" s="9" t="s">
        <v>144</v>
      </c>
      <c r="N9" s="20">
        <v>0</v>
      </c>
      <c r="O9" t="s">
        <v>144</v>
      </c>
      <c r="P9" t="s">
        <v>147</v>
      </c>
      <c r="Q9" t="s">
        <v>144</v>
      </c>
      <c r="R9" t="s">
        <v>29</v>
      </c>
      <c r="S9" s="9" t="s">
        <v>144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144</v>
      </c>
      <c r="AB9" s="20">
        <v>100</v>
      </c>
      <c r="AD9" s="10">
        <v>2021</v>
      </c>
      <c r="AF9">
        <v>2017</v>
      </c>
      <c r="AI9" s="10">
        <v>2040</v>
      </c>
      <c r="AM9" t="s">
        <v>16</v>
      </c>
    </row>
    <row r="10" spans="1:39">
      <c r="A10" s="9" t="s">
        <v>145</v>
      </c>
      <c r="B10" s="9" t="s">
        <v>143</v>
      </c>
      <c r="C10" s="9" t="s">
        <v>44</v>
      </c>
      <c r="E10" s="9" t="s">
        <v>145</v>
      </c>
      <c r="F10" s="20">
        <v>0</v>
      </c>
      <c r="G10" s="9" t="s">
        <v>145</v>
      </c>
      <c r="H10" s="20">
        <v>0</v>
      </c>
      <c r="I10" s="9" t="s">
        <v>145</v>
      </c>
      <c r="J10" s="20">
        <v>0</v>
      </c>
      <c r="K10" s="9" t="s">
        <v>145</v>
      </c>
      <c r="L10" s="20">
        <v>0</v>
      </c>
      <c r="M10" s="9" t="s">
        <v>145</v>
      </c>
      <c r="N10" s="20">
        <v>0</v>
      </c>
      <c r="O10" t="s">
        <v>145</v>
      </c>
      <c r="P10" t="s">
        <v>141</v>
      </c>
      <c r="Q10" t="s">
        <v>145</v>
      </c>
      <c r="R10" t="s">
        <v>29</v>
      </c>
      <c r="S10" s="9" t="s">
        <v>145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145</v>
      </c>
      <c r="AB10" s="20">
        <v>100</v>
      </c>
      <c r="AD10" s="10">
        <v>2022</v>
      </c>
      <c r="AF10">
        <v>2018</v>
      </c>
      <c r="AI10" s="10">
        <v>2050</v>
      </c>
      <c r="AM10" t="s">
        <v>17</v>
      </c>
    </row>
    <row r="11" spans="1:39">
      <c r="A11" s="9" t="s">
        <v>146</v>
      </c>
      <c r="B11" s="9" t="s">
        <v>147</v>
      </c>
      <c r="C11" s="9" t="s">
        <v>45</v>
      </c>
      <c r="E11" s="9" t="s">
        <v>146</v>
      </c>
      <c r="F11" s="20">
        <v>0</v>
      </c>
      <c r="G11" s="9" t="s">
        <v>146</v>
      </c>
      <c r="H11" s="20">
        <v>0</v>
      </c>
      <c r="I11" s="9" t="s">
        <v>146</v>
      </c>
      <c r="J11" s="20">
        <v>1</v>
      </c>
      <c r="K11" s="9" t="s">
        <v>146</v>
      </c>
      <c r="L11" s="20">
        <v>0</v>
      </c>
      <c r="M11" s="9" t="s">
        <v>146</v>
      </c>
      <c r="N11" s="20">
        <v>0</v>
      </c>
      <c r="O11" t="s">
        <v>146</v>
      </c>
      <c r="P11" t="s">
        <v>140</v>
      </c>
      <c r="Q11" t="s">
        <v>146</v>
      </c>
      <c r="R11" t="s">
        <v>29</v>
      </c>
      <c r="S11" s="9" t="s">
        <v>146</v>
      </c>
      <c r="T11" s="20">
        <v>-1</v>
      </c>
      <c r="U11" s="20">
        <v>-1</v>
      </c>
      <c r="V11" s="20">
        <v>-1</v>
      </c>
      <c r="W11" s="20">
        <v>1</v>
      </c>
      <c r="X11" s="20">
        <v>-1</v>
      </c>
      <c r="AA11" s="9" t="s">
        <v>146</v>
      </c>
      <c r="AB11" s="20">
        <v>100</v>
      </c>
      <c r="AD11" s="10">
        <v>2023</v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2024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2025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2026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2027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2028</v>
      </c>
      <c r="AF16">
        <v>2024</v>
      </c>
      <c r="AM16" t="s">
        <v>5</v>
      </c>
    </row>
    <row r="17" spans="30:39">
      <c r="AD17" s="10">
        <v>2029</v>
      </c>
      <c r="AF17">
        <v>2025</v>
      </c>
      <c r="AM17" t="s">
        <v>23</v>
      </c>
    </row>
    <row r="18" spans="30:39">
      <c r="AD18" s="10">
        <v>2030</v>
      </c>
      <c r="AF18">
        <v>2026</v>
      </c>
      <c r="AM18" t="s">
        <v>25</v>
      </c>
    </row>
    <row r="19" spans="30:39">
      <c r="AD19" s="10">
        <v>2031</v>
      </c>
      <c r="AF19">
        <v>2027</v>
      </c>
      <c r="AM19" t="s">
        <v>24</v>
      </c>
    </row>
    <row r="20" spans="30:39">
      <c r="AD20" s="10">
        <v>2032</v>
      </c>
      <c r="AF20">
        <v>2028</v>
      </c>
      <c r="AM20" t="s">
        <v>11</v>
      </c>
    </row>
    <row r="21" spans="30:39">
      <c r="AD21" s="10">
        <v>2033</v>
      </c>
      <c r="AF21">
        <v>2029</v>
      </c>
      <c r="AM21" t="s">
        <v>11</v>
      </c>
    </row>
    <row r="22" spans="30:39">
      <c r="AD22" s="10">
        <v>2034</v>
      </c>
      <c r="AF22">
        <v>2030</v>
      </c>
      <c r="AM22" t="s">
        <v>11</v>
      </c>
    </row>
    <row r="23" spans="30:39">
      <c r="AD23" s="10">
        <v>2035</v>
      </c>
      <c r="AF23">
        <v>2031</v>
      </c>
      <c r="AM23" t="s">
        <v>11</v>
      </c>
    </row>
    <row r="24" spans="30:39">
      <c r="AD24" s="10">
        <v>2036</v>
      </c>
      <c r="AF24">
        <v>2032</v>
      </c>
    </row>
    <row r="25" spans="30:39">
      <c r="AD25" s="10">
        <v>2037</v>
      </c>
      <c r="AF25">
        <v>2033</v>
      </c>
    </row>
    <row r="26" spans="30:39">
      <c r="AD26" s="10">
        <v>2038</v>
      </c>
      <c r="AF26">
        <v>2034</v>
      </c>
    </row>
    <row r="27" spans="30:39">
      <c r="AD27" s="10">
        <v>2039</v>
      </c>
      <c r="AF27">
        <v>2035</v>
      </c>
    </row>
    <row r="28" spans="30:39">
      <c r="AD28" s="10">
        <v>2040</v>
      </c>
      <c r="AF28">
        <v>2036</v>
      </c>
    </row>
    <row r="29" spans="30:39">
      <c r="AD29" s="10">
        <v>2041</v>
      </c>
      <c r="AF29">
        <v>2037</v>
      </c>
    </row>
    <row r="30" spans="30:39">
      <c r="AD30" s="10">
        <v>2042</v>
      </c>
      <c r="AF30">
        <v>2038</v>
      </c>
    </row>
    <row r="31" spans="30:39">
      <c r="AD31" s="10">
        <v>2043</v>
      </c>
      <c r="AF31">
        <v>2039</v>
      </c>
    </row>
    <row r="32" spans="30:39">
      <c r="AD32" s="10">
        <v>2044</v>
      </c>
      <c r="AF32">
        <v>2040</v>
      </c>
    </row>
    <row r="33" spans="30:32">
      <c r="AD33" s="10">
        <v>2045</v>
      </c>
      <c r="AF33">
        <v>2041</v>
      </c>
    </row>
    <row r="34" spans="30:32">
      <c r="AD34" s="10">
        <v>2046</v>
      </c>
      <c r="AF34">
        <v>2042</v>
      </c>
    </row>
    <row r="35" spans="30:32">
      <c r="AD35" s="10">
        <v>2047</v>
      </c>
      <c r="AF35">
        <v>2043</v>
      </c>
    </row>
    <row r="36" spans="30:32">
      <c r="AD36" s="10">
        <v>2048</v>
      </c>
      <c r="AF36">
        <v>2044</v>
      </c>
    </row>
    <row r="37" spans="30:32">
      <c r="AD37" s="10">
        <v>2049</v>
      </c>
      <c r="AF37">
        <v>2045</v>
      </c>
    </row>
    <row r="38" spans="30:32">
      <c r="AD38" s="10">
        <v>2050</v>
      </c>
      <c r="AF38">
        <v>2046</v>
      </c>
    </row>
    <row r="39" spans="30:32">
      <c r="AF39">
        <v>2047</v>
      </c>
    </row>
    <row r="40" spans="30:32">
      <c r="AF40">
        <v>2048</v>
      </c>
    </row>
    <row r="41" spans="30:32">
      <c r="AF41">
        <v>2049</v>
      </c>
    </row>
    <row r="42" spans="30:32"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8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F14" sqref="F14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C:\Models\KENTIMGE\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SUM(A10:A65)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SUM(AY10:AY44)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107</v>
      </c>
      <c r="D9" s="2" t="s">
        <v>28</v>
      </c>
      <c r="E9" s="2" t="s">
        <v>129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0</v>
      </c>
      <c r="B10" t="s">
        <v>146</v>
      </c>
      <c r="C10" t="s">
        <v>77</v>
      </c>
      <c r="D10" t="s">
        <v>29</v>
      </c>
      <c r="E10" t="s">
        <v>140</v>
      </c>
      <c r="F10">
        <v>0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0</v>
      </c>
      <c r="B11" t="s">
        <v>145</v>
      </c>
      <c r="C11" t="s">
        <v>77</v>
      </c>
      <c r="D11" t="s">
        <v>29</v>
      </c>
      <c r="E11" t="s">
        <v>141</v>
      </c>
      <c r="F11">
        <v>0</v>
      </c>
      <c r="G11">
        <v>0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0</v>
      </c>
      <c r="B12" t="s">
        <v>142</v>
      </c>
      <c r="C12" t="s">
        <v>77</v>
      </c>
      <c r="D12" t="s">
        <v>29</v>
      </c>
      <c r="E12" t="s">
        <v>143</v>
      </c>
      <c r="F12">
        <v>0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>
        <v>1</v>
      </c>
      <c r="B13" t="s">
        <v>144</v>
      </c>
      <c r="C13" t="s">
        <v>77</v>
      </c>
      <c r="D13" t="s">
        <v>29</v>
      </c>
      <c r="E13" t="s">
        <v>147</v>
      </c>
      <c r="F13">
        <v>0</v>
      </c>
      <c r="G13">
        <v>1</v>
      </c>
      <c r="H13" t="s">
        <v>72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  <c r="AZ13">
        <v>1</v>
      </c>
      <c r="BA13">
        <v>1</v>
      </c>
      <c r="BB13">
        <v>1</v>
      </c>
      <c r="BD13">
        <v>1</v>
      </c>
      <c r="BE13">
        <v>1</v>
      </c>
      <c r="BH13">
        <v>1</v>
      </c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>
      <c r="A19" s="17"/>
    </row>
    <row r="20" spans="1:1" ht="14.25" customHeight="1">
      <c r="A20" s="17"/>
    </row>
    <row r="21" spans="1:1" ht="16.5" customHeight="1">
      <c r="A21" s="17"/>
    </row>
    <row r="22" spans="1:1" ht="17.25" customHeight="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  <row r="58" spans="1:1">
      <c r="A58" s="17"/>
    </row>
  </sheetData>
  <autoFilter ref="A9:BH44" xr:uid="{00000000-0001-0000-0E00-000000000000}"/>
  <sortState xmlns:xlrd2="http://schemas.microsoft.com/office/spreadsheetml/2017/richdata2" ref="A10:BH44">
    <sortCondition ref="B10:B44"/>
  </sortState>
  <mergeCells count="1">
    <mergeCell ref="R6:AE6"/>
  </mergeCells>
  <phoneticPr fontId="34" type="noConversion"/>
  <conditionalFormatting sqref="A45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40 A43">
    <cfRule type="iconSet" priority="44">
      <iconSet>
        <cfvo type="percent" val="0"/>
        <cfvo type="percent" val="33"/>
        <cfvo type="percent" val="67"/>
      </iconSet>
    </cfRule>
  </conditionalFormatting>
  <conditionalFormatting sqref="A41 A44">
    <cfRule type="iconSet" priority="38">
      <iconSet>
        <cfvo type="percent" val="0"/>
        <cfvo type="percent" val="33"/>
        <cfvo type="percent" val="67"/>
      </iconSet>
    </cfRule>
  </conditionalFormatting>
  <conditionalFormatting sqref="A40:A44">
    <cfRule type="iconSet" priority="32">
      <iconSet>
        <cfvo type="percent" val="0"/>
        <cfvo type="percent" val="33"/>
        <cfvo type="percent" val="67"/>
      </iconSet>
    </cfRule>
  </conditionalFormatting>
  <conditionalFormatting sqref="A40:A44">
    <cfRule type="iconSet" priority="31">
      <iconSet>
        <cfvo type="percent" val="0"/>
        <cfvo type="percent" val="33"/>
        <cfvo type="percent" val="67"/>
      </iconSet>
    </cfRule>
  </conditionalFormatting>
  <conditionalFormatting sqref="A40:A44">
    <cfRule type="iconSet" priority="30">
      <iconSet>
        <cfvo type="percent" val="0"/>
        <cfvo type="percent" val="33"/>
        <cfvo type="percent" val="67"/>
      </iconSet>
    </cfRule>
  </conditionalFormatting>
  <conditionalFormatting sqref="A40:A44">
    <cfRule type="iconSet" priority="29">
      <iconSet>
        <cfvo type="percent" val="0"/>
        <cfvo type="percent" val="33"/>
        <cfvo type="percent" val="67"/>
      </iconSet>
    </cfRule>
  </conditionalFormatting>
  <conditionalFormatting sqref="A40:A44">
    <cfRule type="iconSet" priority="28">
      <iconSet>
        <cfvo type="percent" val="0"/>
        <cfvo type="percent" val="33"/>
        <cfvo type="percent" val="67"/>
      </iconSet>
    </cfRule>
  </conditionalFormatting>
  <conditionalFormatting sqref="A40:A44">
    <cfRule type="iconSet" priority="33">
      <iconSet>
        <cfvo type="percent" val="0"/>
        <cfvo type="percent" val="33"/>
        <cfvo type="percent" val="67"/>
      </iconSet>
    </cfRule>
  </conditionalFormatting>
  <conditionalFormatting sqref="A10:A58">
    <cfRule type="iconSet" priority="895">
      <iconSet>
        <cfvo type="percent" val="0"/>
        <cfvo type="percent" val="33"/>
        <cfvo type="percent" val="67"/>
      </iconSet>
    </cfRule>
  </conditionalFormatting>
  <conditionalFormatting sqref="A14:A44">
    <cfRule type="iconSet" priority="897">
      <iconSet>
        <cfvo type="percent" val="0"/>
        <cfvo type="percent" val="33"/>
        <cfvo type="percent" val="67"/>
      </iconSet>
    </cfRule>
  </conditionalFormatting>
  <conditionalFormatting sqref="A10:A44">
    <cfRule type="iconSet" priority="898">
      <iconSet>
        <cfvo type="percent" val="0"/>
        <cfvo type="percent" val="33"/>
        <cfvo type="percent" val="67"/>
      </iconSet>
    </cfRule>
  </conditionalFormatting>
  <conditionalFormatting sqref="A10:A13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119</v>
      </c>
    </row>
    <row r="3" spans="3:9">
      <c r="D3">
        <v>1</v>
      </c>
      <c r="E3" t="s">
        <v>109</v>
      </c>
    </row>
    <row r="4" spans="3:9">
      <c r="D4">
        <v>1</v>
      </c>
      <c r="E4" t="s">
        <v>111</v>
      </c>
      <c r="I4" s="2"/>
    </row>
    <row r="5" spans="3:9">
      <c r="D5">
        <v>1</v>
      </c>
      <c r="E5" t="s">
        <v>132</v>
      </c>
    </row>
    <row r="6" spans="3:9">
      <c r="D6">
        <v>1</v>
      </c>
      <c r="E6" t="s">
        <v>113</v>
      </c>
    </row>
    <row r="7" spans="3:9">
      <c r="D7">
        <v>1</v>
      </c>
      <c r="E7" t="s">
        <v>112</v>
      </c>
    </row>
    <row r="8" spans="3:9">
      <c r="C8" s="2"/>
      <c r="D8">
        <v>1</v>
      </c>
      <c r="E8" t="s">
        <v>114</v>
      </c>
    </row>
    <row r="9" spans="3:9">
      <c r="D9">
        <v>1</v>
      </c>
      <c r="E9" t="s">
        <v>115</v>
      </c>
    </row>
    <row r="10" spans="3:9">
      <c r="C10" s="2"/>
      <c r="D10">
        <v>1</v>
      </c>
      <c r="E10" t="s">
        <v>116</v>
      </c>
    </row>
    <row r="11" spans="3:9">
      <c r="D11">
        <v>1</v>
      </c>
      <c r="E11" t="s">
        <v>117</v>
      </c>
    </row>
    <row r="12" spans="3:9">
      <c r="D12">
        <v>1</v>
      </c>
      <c r="E12" t="s">
        <v>118</v>
      </c>
    </row>
    <row r="13" spans="3:9">
      <c r="C13" s="2"/>
      <c r="D13">
        <v>1</v>
      </c>
      <c r="E13" t="s">
        <v>130</v>
      </c>
    </row>
    <row r="14" spans="3:9">
      <c r="D14">
        <v>1</v>
      </c>
      <c r="E14" t="s">
        <v>131</v>
      </c>
    </row>
    <row r="17" spans="3:9">
      <c r="D17">
        <v>1</v>
      </c>
      <c r="E17" t="s">
        <v>120</v>
      </c>
    </row>
    <row r="18" spans="3:9">
      <c r="E18" t="s">
        <v>110</v>
      </c>
    </row>
    <row r="19" spans="3:9">
      <c r="D19">
        <v>1</v>
      </c>
      <c r="E19" t="s">
        <v>108</v>
      </c>
    </row>
    <row r="20" spans="3:9">
      <c r="D20">
        <v>1</v>
      </c>
      <c r="E20" t="s">
        <v>121</v>
      </c>
    </row>
    <row r="21" spans="3:9">
      <c r="D21">
        <v>1</v>
      </c>
      <c r="E21" t="s">
        <v>122</v>
      </c>
    </row>
    <row r="22" spans="3:9">
      <c r="C22" s="2"/>
      <c r="D22">
        <v>1</v>
      </c>
      <c r="E22" t="s">
        <v>123</v>
      </c>
    </row>
    <row r="23" spans="3:9">
      <c r="C23" s="2"/>
    </row>
    <row r="24" spans="3:9">
      <c r="C24" s="2"/>
      <c r="E24" t="s">
        <v>138</v>
      </c>
    </row>
    <row r="25" spans="3:9">
      <c r="C25" s="2"/>
    </row>
    <row r="27" spans="3:9">
      <c r="E27" t="s">
        <v>133</v>
      </c>
    </row>
    <row r="28" spans="3:9">
      <c r="I28" s="11"/>
    </row>
    <row r="29" spans="3:9">
      <c r="E29" t="s">
        <v>135</v>
      </c>
    </row>
    <row r="31" spans="3:9">
      <c r="C31" s="2"/>
      <c r="E31" t="s">
        <v>134</v>
      </c>
    </row>
    <row r="32" spans="3:9">
      <c r="E32" t="s">
        <v>136</v>
      </c>
    </row>
    <row r="34" spans="3:5">
      <c r="E34" t="s">
        <v>137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2023-05-09T14:47:16Z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