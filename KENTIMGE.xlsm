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KENTIMGE\"/>
    </mc:Choice>
  </mc:AlternateContent>
  <xr:revisionPtr revIDLastSave="0" documentId="13_ncr:1_{73C215E6-C7C8-47D4-AE38-E6A112726FE4}" xr6:coauthVersionLast="47" xr6:coauthVersionMax="47" xr10:uidLastSave="{00000000-0000-0000-0000-000000000000}"/>
  <bookViews>
    <workbookView xWindow="1950" yWindow="1950" windowWidth="21600" windowHeight="11385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Scenarios!$A$9:$BH$44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271" r:id="rId9"/>
    <pivotCache cacheId="274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4" l="1"/>
  <c r="C20" i="4" l="1"/>
  <c r="C18" i="4"/>
  <c r="A6" i="33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C9" i="4"/>
  <c r="C13" i="4"/>
  <c r="C19" i="4"/>
  <c r="C17" i="4"/>
  <c r="C16" i="4"/>
  <c r="C12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tc={282B0F2A-2BA1-4316-A4A7-A2B8C6640975}</author>
    <author>tc={784CACC1-90BC-4351-B57D-234D5FCD47FD}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282B0F2A-2BA1-4316-A4A7-A2B8C664097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784CACC1-90BC-4351-B57D-234D5FCD47F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" authorId="3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4" authorId="4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<sst xmlns="http://schemas.openxmlformats.org/spreadsheetml/2006/main" count="259" uniqueCount="148">
  <si>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</si>
  <si>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</si>
  <si>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</si>
  <si>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</si>
  <si>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</si>
  <si>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</si>
  <si>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</si>
  <si>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</si>
  <si>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</si>
  <si>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</si>
  <si>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</si>
  <si>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</si>
  <si>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</si>
  <si>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</si>
  <si>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</si>
  <si>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</si>
  <si>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</si>
  <si>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</si>
  <si>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</si>
  <si>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</si>
  <si>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</si>
  <si>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</si>
  <si>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</si>
  <si>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</si>
  <si>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</si>
  <si>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</si>
  <si>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</si>
  <si>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</si>
  <si>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</si>
  <si>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</si>
  <si>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</si>
  <si>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</si>
  <si>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</si>
  <si>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</si>
  <si>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</si>
  <si>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</si>
  <si>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</si>
  <si>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</si>
  <si>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</si>
  <si>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</si>
  <si>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</si>
  <si>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</si>
  <si>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</si>
  <si>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</si>
  <si>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</si>
  <si>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</si>
  <si>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</si>
  <si>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</si>
  <si>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</si>
  <si>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</si>
  <si>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</si>
  <si>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</si>
  <si>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</si>
  <si>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</si>
  <si>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</si>
  <si>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</si>
  <si>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</si>
  <si>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SIM_ESAGE</t>
  </si>
  <si>
    <t>Number of iterations with CGE</t>
  </si>
  <si>
    <t>Active sims</t>
  </si>
  <si>
    <t>XC</t>
  </si>
  <si>
    <t>Map RUN eSAGE sim (MRUNX)</t>
  </si>
  <si>
    <t>PAMS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</si>
  <si>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</si>
  <si>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</si>
  <si>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</si>
  <si>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</si>
  <si>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</si>
  <si>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</si>
  <si>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</si>
  <si>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</si>
  <si>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</si>
  <si>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</si>
  <si>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</si>
  <si>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</si>
  <si>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</si>
  <si>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</si>
  <si>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</si>
  <si>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</si>
  <si>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</si>
  <si>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</si>
  <si>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</si>
  <si>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</si>
  <si>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</si>
  <si>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</si>
  <si>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</si>
  <si>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</si>
  <si>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</si>
  <si>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</si>
  <si>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</si>
  <si>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</si>
  <si>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</si>
  <si>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</si>
  <si>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</si>
  <si>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</si>
  <si>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</si>
  <si>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</si>
  <si>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</si>
  <si>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</si>
  <si>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</si>
  <si>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</si>
  <si>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NZ_nopams_45afolu</t>
  </si>
  <si>
    <t>NZ_nopams_20afolu</t>
  </si>
  <si>
    <t>NZ_pams_45</t>
  </si>
  <si>
    <t>NZ_pams_20</t>
  </si>
  <si>
    <t>F</t>
  </si>
  <si>
    <t>TTIMES</t>
  </si>
  <si>
    <t>Configured in TIMES?</t>
  </si>
  <si>
    <t>SATIM\-&gt;GHATIM\</t>
  </si>
  <si>
    <t>GHATIM.gms</t>
  </si>
  <si>
    <t>Search and Replace</t>
  </si>
  <si>
    <t>GHATIM.xlsm</t>
  </si>
  <si>
    <t>cge\includes\2energychecksinit.inc</t>
  </si>
  <si>
    <t>cge\includes\2energyinit.inc</t>
  </si>
  <si>
    <t>cge\includes\2energychecks.inc</t>
  </si>
  <si>
    <t>cge\includes\2energyfcast.inc</t>
  </si>
  <si>
    <t>cge\includes\BudgetShare_Recalc.inc</t>
  </si>
  <si>
    <t>cge\includes\EnergyGoodsBudgetAllocation.inc</t>
  </si>
  <si>
    <t>cge\includes\eSAGE_Report.inc</t>
  </si>
  <si>
    <t>Copy Files</t>
  </si>
  <si>
    <t>Add Technology and commodity names to SetsandMaps, check mapping sets in SetsAndMapa\SetsAndMaps.xlsm</t>
  </si>
  <si>
    <t>\SATIM-&gt;\GHATIM</t>
  </si>
  <si>
    <t>FSATIM-&gt;FSeMOD</t>
  </si>
  <si>
    <t>SATIM-&gt;eMOD</t>
  </si>
  <si>
    <t>eMODCASES</t>
  </si>
  <si>
    <t>SIM_eMOD</t>
  </si>
  <si>
    <t>Rerun TIMES? (SIM_eMOD)</t>
  </si>
  <si>
    <t>Map RUN eMOD Case (MRUNCASE)</t>
  </si>
  <si>
    <t>eMOD Active</t>
  </si>
  <si>
    <t>eMOD (TIMES) Case</t>
  </si>
  <si>
    <t>cge\includes\initialize.inc</t>
  </si>
  <si>
    <t>cge\includes\results.inc</t>
  </si>
  <si>
    <t>EmissionFactors.xlsx</t>
  </si>
  <si>
    <t>Copy RUNTIMES.cmd, RUNTIMES2.CMD and check for GHATIM</t>
  </si>
  <si>
    <t>Supply links</t>
  </si>
  <si>
    <t>Do demand links</t>
  </si>
  <si>
    <t>Check ifa x iva x wf against Fintensity</t>
  </si>
  <si>
    <t>Check icas</t>
  </si>
  <si>
    <t>In 1model.gms - change QVA0 calc</t>
  </si>
  <si>
    <t>(blank)</t>
  </si>
  <si>
    <t>REF</t>
  </si>
  <si>
    <t>REF_FLXGAS</t>
  </si>
  <si>
    <t>NDC_BigGas</t>
  </si>
  <si>
    <t>NDCMODNFG</t>
  </si>
  <si>
    <t>NDC_FlexGas</t>
  </si>
  <si>
    <t>Reference_FlexGas</t>
  </si>
  <si>
    <t>Reference_BigGas</t>
  </si>
  <si>
    <t>NDCMODFG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</si>
</sst>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1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988.572435648151" createdVersion="6" refreshedVersion="8" minRefreshableVersion="3" recordCount="50" xr:uid="{C0EB43E8-6CC6-4DE4-B7F1-02B09F7BA69A}">
  <cacheSource type="worksheet">
    <worksheetSource ref="A9:P92" sheet="Scenarios"/>
  </cacheSource>
  <cacheFields count="16">
    <cacheField name="Include in Batch?" numFmtId="0">
      <sharedItems containsString="0" containsBlank="1" containsNumber="1" containsInteger="1" minValue="1" maxValue="1"/>
    </cacheField>
    <cacheField name="Scenario (RUN)" numFmtId="0">
      <sharedItems containsBlank="1" containsMixedTypes="1" containsNumber="1" containsInteger="1" minValue="0" maxValue="0" count="6">
        <s v="Reference_BigGas"/>
        <s v="Reference_FlexGas"/>
        <s v="NDC_BigGas"/>
        <s v="NDC_FlexGas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eMOD (TIMES) Case" numFmtId="0">
      <sharedItems containsBlank="1" count="8">
        <s v="REF"/>
        <s v="REF_FLXGAS"/>
        <s v="NDCMODNFG"/>
        <s v="NDCMODFG"/>
        <m/>
        <s v="NDCL2" u="1"/>
        <s v="NDCL1" u="1"/>
        <s v="BASE" u="1"/>
      </sharedItems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988.572437037037" createdVersion="6" refreshedVersion="8" minRefreshableVersion="3" recordCount="50" xr:uid="{D229C3DF-142A-4D15-BB2C-2EA205AB0203}">
  <cacheSource type="worksheet">
    <worksheetSource ref="A9:P93" sheet="Scenarios"/>
  </cacheSource>
  <cacheFields count="16">
    <cacheField name="Include in Batch?" numFmtId="0">
      <sharedItems containsString="0" containsBlank="1" containsNumber="1" containsInteger="1" minValue="1" maxValue="1"/>
    </cacheField>
    <cacheField name="Scenario (RUN)" numFmtId="0">
      <sharedItems containsBlank="1" containsMixedTypes="1" containsNumber="1" containsInteger="1" minValue="0" maxValue="0" count="6">
        <s v="Reference_BigGas"/>
        <s v="Reference_FlexGas"/>
        <s v="NDC_BigGas"/>
        <s v="NDC_FlexGas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/>
    </cacheField>
    <cacheField name="eMOD (TIMES) Case" numFmtId="0">
      <sharedItems containsBlank="1"/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n v="1"/>
    <x v="0"/>
    <s v="yes tested"/>
    <x v="0"/>
    <x v="0"/>
    <n v="0"/>
    <n v="1"/>
    <s v="No Pams"/>
    <n v="0"/>
    <n v="0"/>
    <n v="-1"/>
    <n v="-1"/>
    <n v="-1"/>
    <n v="1"/>
    <n v="-1"/>
    <n v="100"/>
  </r>
  <r>
    <n v="1"/>
    <x v="1"/>
    <s v="yes tested"/>
    <x v="0"/>
    <x v="1"/>
    <n v="0"/>
    <n v="1"/>
    <s v="No Pams"/>
    <n v="0"/>
    <n v="0"/>
    <n v="-1"/>
    <n v="-1"/>
    <n v="-1"/>
    <n v="1"/>
    <n v="-1"/>
    <n v="100"/>
  </r>
  <r>
    <n v="1"/>
    <x v="2"/>
    <s v="yes tested"/>
    <x v="0"/>
    <x v="2"/>
    <n v="0"/>
    <n v="1"/>
    <s v="No Pams"/>
    <n v="0"/>
    <n v="0"/>
    <n v="-1"/>
    <n v="-1"/>
    <n v="-1"/>
    <n v="1"/>
    <n v="-1"/>
    <n v="100"/>
  </r>
  <r>
    <n v="1"/>
    <x v="3"/>
    <s v="yes tested"/>
    <x v="0"/>
    <x v="3"/>
    <n v="0"/>
    <n v="1"/>
    <s v="No Pams"/>
    <n v="0"/>
    <n v="0"/>
    <n v="-1"/>
    <n v="-1"/>
    <n v="-1"/>
    <n v="1"/>
    <n v="-1"/>
    <n v="100"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n v="1"/>
    <x v="0"/>
    <s v="yes tested"/>
    <s v="base"/>
    <s v="REF"/>
    <n v="0"/>
    <n v="1"/>
    <s v="No Pams"/>
    <n v="0"/>
    <n v="0"/>
    <n v="-1"/>
    <n v="-1"/>
    <n v="-1"/>
    <n v="1"/>
    <n v="-1"/>
    <n v="100"/>
  </r>
  <r>
    <n v="1"/>
    <x v="1"/>
    <s v="yes tested"/>
    <s v="base"/>
    <s v="REF_FLXGAS"/>
    <n v="0"/>
    <n v="1"/>
    <s v="No Pams"/>
    <n v="0"/>
    <n v="0"/>
    <n v="-1"/>
    <n v="-1"/>
    <n v="-1"/>
    <n v="1"/>
    <n v="-1"/>
    <n v="100"/>
  </r>
  <r>
    <n v="1"/>
    <x v="2"/>
    <s v="yes tested"/>
    <s v="base"/>
    <s v="NDCMODNFG"/>
    <n v="0"/>
    <n v="1"/>
    <s v="No Pams"/>
    <n v="0"/>
    <n v="0"/>
    <n v="-1"/>
    <n v="-1"/>
    <n v="-1"/>
    <n v="1"/>
    <n v="-1"/>
    <n v="100"/>
  </r>
  <r>
    <n v="1"/>
    <x v="3"/>
    <s v="yes tested"/>
    <s v="base"/>
    <s v="NDCMODFG"/>
    <n v="0"/>
    <n v="1"/>
    <s v="No Pams"/>
    <n v="0"/>
    <n v="0"/>
    <n v="-1"/>
    <n v="-1"/>
    <n v="-1"/>
    <n v="1"/>
    <n v="-1"/>
    <n v="100"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27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11" firstHeaderRow="1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27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27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11" firstHeaderRow="1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27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11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6">
        <item x="4"/>
        <item m="1" x="5"/>
        <item x="2"/>
        <item x="3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8">
        <item m="1" x="7"/>
        <item x="4"/>
        <item m="1" x="6"/>
        <item m="1" x="5"/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5">
    <i>
      <x/>
      <x v="1"/>
    </i>
    <i>
      <x v="2"/>
      <x v="6"/>
    </i>
    <i>
      <x v="3"/>
      <x v="7"/>
    </i>
    <i>
      <x v="4"/>
      <x v="5"/>
    </i>
    <i>
      <x v="5"/>
      <x v="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27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11" firstHeaderRow="1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27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11" firstHeaderRow="1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27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11" firstHeaderRow="1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27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11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6">
        <item x="4"/>
        <item m="1" x="5"/>
        <item x="2"/>
        <item x="3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5">
    <i>
      <x/>
      <x v="2"/>
    </i>
    <i>
      <x v="2"/>
      <x/>
    </i>
    <i>
      <x v="3"/>
      <x/>
    </i>
    <i>
      <x v="4"/>
      <x/>
    </i>
    <i>
      <x v="5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271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11" firstHeaderRow="1" firstDataRow="1" firstDataCol="1"/>
  <pivotFields count="16">
    <pivotField dataField="1"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274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11" firstHeaderRow="1" firstDataRow="1" firstDataCol="1"/>
  <pivotFields count="16">
    <pivotField showAll="0"/>
    <pivotField axis="axisRow" showAll="0">
      <items count="7">
        <item m="1" x="5"/>
        <item x="4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 v="1"/>
    </i>
    <i>
      <x v="2"/>
    </i>
    <i>
      <x v="3"/>
    </i>
    <i>
      <x v="4"/>
    </i>
    <i>
      <x v="5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A4F82-FEF5-4C88-AAAE-AA4FBD88A817}" name="PivotTable3" cacheId="27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11" firstHeaderRow="1" firstDataRow="1" firstDataCol="1"/>
  <pivotFields count="16">
    <pivotField showAll="0"/>
    <pivotField showAll="0"/>
    <pivotField showAll="0"/>
    <pivotField showAll="0"/>
    <pivotField axis="axisRow" showAll="0">
      <items count="9">
        <item m="1" x="7"/>
        <item x="4"/>
        <item m="1" x="6"/>
        <item m="1" x="5"/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 v="1"/>
    </i>
    <i>
      <x v="4"/>
    </i>
    <i>
      <x v="5"/>
    </i>
    <i>
      <x v="6"/>
    </i>
    <i>
      <x v="7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27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11" firstHeaderRow="0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282B0F2A-2BA1-4316-A4A7-A2B8C6640975}">
    <text>Note that there is still a problem running with other cases here - still looking into it.</text>
  </threadedComment>
  <threadedComment ref="D12" dT="2020-08-07T12:32:29.60" personId="{8A307EF1-062C-4DD1-801F-D45833AE4B68}" id="{784CACC1-90BC-4351-B57D-234D5FCD47FD}">
    <text>Note that there is still a problem running with other cases here - still looking into it.</text>
  </threadedComment>
  <threadedComment ref="D13" dT="2020-08-07T12:32:29.60" personId="{8A307EF1-062C-4DD1-801F-D45833AE4B68}" id="{2E057A1D-61F2-468B-8278-F722F83FC647}">
    <text>Note that there is still a problem running with other cases here - still looking into it.</text>
  </threadedComment>
  <threadedComment ref="D44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C9" sqref="C9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124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55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60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125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57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84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85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56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52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53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106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62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88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42"/>
  <sheetViews>
    <sheetView topLeftCell="R1" workbookViewId="0">
      <selection activeCell="AE8" sqref="AE8"/>
    </sheetView>
  </sheetViews>
  <sheetFormatPr defaultRowHeight="15"/>
  <cols>
    <col min="1" max="1" width="18.28515625" bestFit="1" customWidth="1"/>
    <col min="2" max="2" width="13.140625" bestFit="1" customWidth="1"/>
    <col min="3" max="3" width="13.140625" customWidth="1"/>
    <col min="4" max="4" width="13.140625" bestFit="1" customWidth="1"/>
    <col min="5" max="5" width="18.28515625" bestFit="1" customWidth="1"/>
    <col min="6" max="6" width="23" bestFit="1" customWidth="1"/>
    <col min="7" max="7" width="18.28515625" bestFit="1" customWidth="1"/>
    <col min="8" max="8" width="19.85546875" bestFit="1" customWidth="1"/>
    <col min="9" max="9" width="18.28515625" bestFit="1" customWidth="1"/>
    <col min="10" max="10" width="18.5703125" bestFit="1" customWidth="1"/>
    <col min="11" max="11" width="18.28515625" bestFit="1" customWidth="1"/>
    <col min="12" max="12" width="20.7109375" bestFit="1" customWidth="1"/>
    <col min="13" max="13" width="18.28515625" bestFit="1" customWidth="1"/>
    <col min="14" max="14" width="21" bestFit="1" customWidth="1"/>
    <col min="15" max="15" width="16.7109375" bestFit="1" customWidth="1"/>
    <col min="16" max="16" width="20.85546875" bestFit="1" customWidth="1"/>
    <col min="17" max="17" width="16.7109375" bestFit="1" customWidth="1"/>
    <col min="18" max="18" width="18" bestFit="1" customWidth="1"/>
    <col min="19" max="19" width="18.2851562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18.28515625" bestFit="1" customWidth="1"/>
    <col min="28" max="28" width="19.140625" bestFit="1" customWidth="1"/>
    <col min="29" max="29" width="20.140625" customWidth="1"/>
    <col min="30" max="30" width="10" style="10" bestFit="1" customWidth="1"/>
    <col min="31" max="31" width="11.5703125" style="10" bestFit="1" customWidth="1"/>
    <col min="32" max="33" width="23.140625" customWidth="1"/>
    <col min="34" max="34" width="16.7109375" customWidth="1"/>
    <col min="35" max="35" width="19" customWidth="1"/>
  </cols>
  <sheetData>
    <row r="5" spans="1:39" s="1" customFormat="1">
      <c r="A5" s="1" t="s">
        <v>7</v>
      </c>
      <c r="B5" s="1" t="s">
        <v>38</v>
      </c>
      <c r="C5" s="1" t="s">
        <v>43</v>
      </c>
      <c r="D5" s="1" t="s">
        <v>59</v>
      </c>
      <c r="E5" s="1" t="s">
        <v>40</v>
      </c>
      <c r="G5" s="1" t="s">
        <v>126</v>
      </c>
      <c r="I5" s="1" t="s">
        <v>78</v>
      </c>
      <c r="K5" s="1" t="s">
        <v>80</v>
      </c>
      <c r="M5" s="1" t="s">
        <v>81</v>
      </c>
      <c r="O5" s="1" t="s">
        <v>127</v>
      </c>
      <c r="Q5" s="1" t="s">
        <v>61</v>
      </c>
      <c r="S5" s="1" t="s">
        <v>62</v>
      </c>
      <c r="AA5" s="1" t="s">
        <v>86</v>
      </c>
      <c r="AD5" s="1" t="s">
        <v>51</v>
      </c>
      <c r="AE5" s="1" t="s">
        <v>54</v>
      </c>
      <c r="AF5" s="1" t="s">
        <v>128</v>
      </c>
      <c r="AM5" s="1" t="s">
        <v>27</v>
      </c>
    </row>
    <row r="6" spans="1:39">
      <c r="A6" s="8" t="s">
        <v>32</v>
      </c>
      <c r="B6" s="8" t="s">
        <v>32</v>
      </c>
      <c r="D6" s="8" t="s">
        <v>32</v>
      </c>
      <c r="E6" s="8" t="s">
        <v>32</v>
      </c>
      <c r="F6" t="s">
        <v>39</v>
      </c>
      <c r="G6" s="8" t="s">
        <v>32</v>
      </c>
      <c r="H6" t="s">
        <v>42</v>
      </c>
      <c r="I6" s="8" t="s">
        <v>32</v>
      </c>
      <c r="J6" t="s">
        <v>41</v>
      </c>
      <c r="K6" s="8" t="s">
        <v>32</v>
      </c>
      <c r="L6" t="s">
        <v>82</v>
      </c>
      <c r="M6" s="8" t="s">
        <v>32</v>
      </c>
      <c r="N6" t="s">
        <v>83</v>
      </c>
      <c r="O6" s="8" t="s">
        <v>34</v>
      </c>
      <c r="P6" s="8" t="s">
        <v>129</v>
      </c>
      <c r="Q6" s="8" t="s">
        <v>34</v>
      </c>
      <c r="R6" s="8" t="s">
        <v>28</v>
      </c>
      <c r="S6" s="8" t="s">
        <v>32</v>
      </c>
      <c r="T6" t="s">
        <v>68</v>
      </c>
      <c r="U6" t="s">
        <v>69</v>
      </c>
      <c r="V6" t="s">
        <v>70</v>
      </c>
      <c r="W6" t="s">
        <v>71</v>
      </c>
      <c r="X6" t="s">
        <v>37</v>
      </c>
      <c r="AA6" s="8" t="s">
        <v>32</v>
      </c>
      <c r="AB6" t="s">
        <v>87</v>
      </c>
      <c r="AC6" s="8"/>
      <c r="AD6" s="12" t="s">
        <v>52</v>
      </c>
      <c r="AE6" s="12" t="s">
        <v>53</v>
      </c>
      <c r="AF6" t="s">
        <v>106</v>
      </c>
    </row>
    <row r="7" spans="1:39">
      <c r="A7" s="9" t="s">
        <v>139</v>
      </c>
      <c r="B7" s="9" t="s">
        <v>139</v>
      </c>
      <c r="C7" s="8" t="s">
        <v>29</v>
      </c>
      <c r="D7" s="9" t="s">
        <v>29</v>
      </c>
      <c r="E7" s="9" t="s">
        <v>139</v>
      </c>
      <c r="F7" s="20">
        <v>0</v>
      </c>
      <c r="G7" s="9" t="s">
        <v>139</v>
      </c>
      <c r="H7" s="20"/>
      <c r="I7" s="9" t="s">
        <v>139</v>
      </c>
      <c r="J7" s="20"/>
      <c r="K7" s="9" t="s">
        <v>139</v>
      </c>
      <c r="L7" s="20"/>
      <c r="M7" s="9" t="s">
        <v>139</v>
      </c>
      <c r="N7" s="20"/>
      <c r="O7" t="s">
        <v>139</v>
      </c>
      <c r="P7" t="s">
        <v>139</v>
      </c>
      <c r="Q7" t="s">
        <v>139</v>
      </c>
      <c r="R7" t="s">
        <v>139</v>
      </c>
      <c r="S7" s="9" t="s">
        <v>139</v>
      </c>
      <c r="T7" s="20"/>
      <c r="U7" s="20"/>
      <c r="V7" s="20"/>
      <c r="W7" s="20"/>
      <c r="X7" s="20"/>
      <c r="AA7" s="9" t="s">
        <v>139</v>
      </c>
      <c r="AB7" s="20"/>
      <c r="AD7" s="10">
        <v>2019</v>
      </c>
      <c r="AE7" s="10">
        <v>2040</v>
      </c>
      <c r="AF7">
        <v>2015</v>
      </c>
      <c r="AI7" s="10">
        <v>2030</v>
      </c>
      <c r="AM7" t="s">
        <v>14</v>
      </c>
    </row>
    <row r="8" spans="1:39">
      <c r="A8" s="9" t="s">
        <v>142</v>
      </c>
      <c r="B8" s="9" t="s">
        <v>140</v>
      </c>
      <c r="C8" s="9" t="s">
        <v>30</v>
      </c>
      <c r="D8" s="9" t="s">
        <v>139</v>
      </c>
      <c r="E8" s="9" t="s">
        <v>142</v>
      </c>
      <c r="F8" s="20">
        <v>1</v>
      </c>
      <c r="G8" s="9" t="s">
        <v>142</v>
      </c>
      <c r="H8" s="20">
        <v>0</v>
      </c>
      <c r="I8" s="9" t="s">
        <v>142</v>
      </c>
      <c r="J8" s="20">
        <v>1</v>
      </c>
      <c r="K8" s="9" t="s">
        <v>142</v>
      </c>
      <c r="L8" s="20">
        <v>0</v>
      </c>
      <c r="M8" s="9" t="s">
        <v>142</v>
      </c>
      <c r="N8" s="20">
        <v>0</v>
      </c>
      <c r="O8" t="s">
        <v>142</v>
      </c>
      <c r="P8" t="s">
        <v>143</v>
      </c>
      <c r="Q8" t="s">
        <v>142</v>
      </c>
      <c r="R8" t="s">
        <v>29</v>
      </c>
      <c r="S8" s="9" t="s">
        <v>142</v>
      </c>
      <c r="T8" s="20">
        <v>-1</v>
      </c>
      <c r="U8" s="20">
        <v>-1</v>
      </c>
      <c r="V8" s="20">
        <v>-1</v>
      </c>
      <c r="W8" s="20">
        <v>1</v>
      </c>
      <c r="X8" s="20">
        <v>-1</v>
      </c>
      <c r="AA8" s="9" t="s">
        <v>142</v>
      </c>
      <c r="AB8" s="20">
        <v>100</v>
      </c>
      <c r="AD8" s="10">
        <v>2020</v>
      </c>
      <c r="AF8">
        <v>2016</v>
      </c>
      <c r="AI8" s="10">
        <v>2035</v>
      </c>
      <c r="AM8" t="s">
        <v>15</v>
      </c>
    </row>
    <row r="9" spans="1:39">
      <c r="A9" s="9" t="s">
        <v>144</v>
      </c>
      <c r="B9" s="9" t="s">
        <v>141</v>
      </c>
      <c r="C9" s="9" t="s">
        <v>31</v>
      </c>
      <c r="E9" s="9" t="s">
        <v>144</v>
      </c>
      <c r="F9" s="20">
        <v>1</v>
      </c>
      <c r="G9" s="9" t="s">
        <v>144</v>
      </c>
      <c r="H9" s="20">
        <v>0</v>
      </c>
      <c r="I9" s="9" t="s">
        <v>144</v>
      </c>
      <c r="J9" s="20">
        <v>1</v>
      </c>
      <c r="K9" s="9" t="s">
        <v>144</v>
      </c>
      <c r="L9" s="20">
        <v>0</v>
      </c>
      <c r="M9" s="9" t="s">
        <v>144</v>
      </c>
      <c r="N9" s="20">
        <v>0</v>
      </c>
      <c r="O9" t="s">
        <v>144</v>
      </c>
      <c r="P9" t="s">
        <v>147</v>
      </c>
      <c r="Q9" t="s">
        <v>144</v>
      </c>
      <c r="R9" t="s">
        <v>29</v>
      </c>
      <c r="S9" s="9" t="s">
        <v>144</v>
      </c>
      <c r="T9" s="20">
        <v>-1</v>
      </c>
      <c r="U9" s="20">
        <v>-1</v>
      </c>
      <c r="V9" s="20">
        <v>-1</v>
      </c>
      <c r="W9" s="20">
        <v>1</v>
      </c>
      <c r="X9" s="20">
        <v>-1</v>
      </c>
      <c r="AA9" s="9" t="s">
        <v>144</v>
      </c>
      <c r="AB9" s="20">
        <v>100</v>
      </c>
      <c r="AD9" s="10">
        <v>2021</v>
      </c>
      <c r="AF9">
        <v>2017</v>
      </c>
      <c r="AI9" s="10">
        <v>2040</v>
      </c>
      <c r="AM9" t="s">
        <v>16</v>
      </c>
    </row>
    <row r="10" spans="1:39">
      <c r="A10" s="9" t="s">
        <v>145</v>
      </c>
      <c r="B10" s="9" t="s">
        <v>143</v>
      </c>
      <c r="C10" s="9" t="s">
        <v>44</v>
      </c>
      <c r="E10" s="9" t="s">
        <v>145</v>
      </c>
      <c r="F10" s="20">
        <v>1</v>
      </c>
      <c r="G10" s="9" t="s">
        <v>145</v>
      </c>
      <c r="H10" s="20">
        <v>0</v>
      </c>
      <c r="I10" s="9" t="s">
        <v>145</v>
      </c>
      <c r="J10" s="20">
        <v>1</v>
      </c>
      <c r="K10" s="9" t="s">
        <v>145</v>
      </c>
      <c r="L10" s="20">
        <v>0</v>
      </c>
      <c r="M10" s="9" t="s">
        <v>145</v>
      </c>
      <c r="N10" s="20">
        <v>0</v>
      </c>
      <c r="O10" t="s">
        <v>145</v>
      </c>
      <c r="P10" t="s">
        <v>141</v>
      </c>
      <c r="Q10" t="s">
        <v>145</v>
      </c>
      <c r="R10" t="s">
        <v>29</v>
      </c>
      <c r="S10" s="9" t="s">
        <v>145</v>
      </c>
      <c r="T10" s="20">
        <v>-1</v>
      </c>
      <c r="U10" s="20">
        <v>-1</v>
      </c>
      <c r="V10" s="20">
        <v>-1</v>
      </c>
      <c r="W10" s="20">
        <v>1</v>
      </c>
      <c r="X10" s="20">
        <v>-1</v>
      </c>
      <c r="AA10" s="9" t="s">
        <v>145</v>
      </c>
      <c r="AB10" s="20">
        <v>100</v>
      </c>
      <c r="AD10" s="10">
        <v>2022</v>
      </c>
      <c r="AF10">
        <v>2018</v>
      </c>
      <c r="AI10" s="10">
        <v>2050</v>
      </c>
      <c r="AM10" t="s">
        <v>17</v>
      </c>
    </row>
    <row r="11" spans="1:39">
      <c r="A11" s="9" t="s">
        <v>146</v>
      </c>
      <c r="B11" s="9" t="s">
        <v>147</v>
      </c>
      <c r="C11" s="9" t="s">
        <v>45</v>
      </c>
      <c r="E11" s="9" t="s">
        <v>146</v>
      </c>
      <c r="F11" s="20">
        <v>1</v>
      </c>
      <c r="G11" s="9" t="s">
        <v>146</v>
      </c>
      <c r="H11" s="20">
        <v>0</v>
      </c>
      <c r="I11" s="9" t="s">
        <v>146</v>
      </c>
      <c r="J11" s="20">
        <v>1</v>
      </c>
      <c r="K11" s="9" t="s">
        <v>146</v>
      </c>
      <c r="L11" s="20">
        <v>0</v>
      </c>
      <c r="M11" s="9" t="s">
        <v>146</v>
      </c>
      <c r="N11" s="20">
        <v>0</v>
      </c>
      <c r="O11" t="s">
        <v>146</v>
      </c>
      <c r="P11" t="s">
        <v>140</v>
      </c>
      <c r="Q11" t="s">
        <v>146</v>
      </c>
      <c r="R11" t="s">
        <v>29</v>
      </c>
      <c r="S11" s="9" t="s">
        <v>146</v>
      </c>
      <c r="T11" s="20">
        <v>-1</v>
      </c>
      <c r="U11" s="20">
        <v>-1</v>
      </c>
      <c r="V11" s="20">
        <v>-1</v>
      </c>
      <c r="W11" s="20">
        <v>1</v>
      </c>
      <c r="X11" s="20">
        <v>-1</v>
      </c>
      <c r="AA11" s="9" t="s">
        <v>146</v>
      </c>
      <c r="AB11" s="20">
        <v>100</v>
      </c>
      <c r="AD11" s="10">
        <v>2023</v>
      </c>
      <c r="AF11">
        <v>2019</v>
      </c>
      <c r="AM11" t="s">
        <v>18</v>
      </c>
    </row>
    <row r="12" spans="1:39">
      <c r="C12" s="9" t="s">
        <v>46</v>
      </c>
      <c r="D12" s="9"/>
      <c r="AD12" s="10">
        <v>2024</v>
      </c>
      <c r="AF12">
        <v>2020</v>
      </c>
      <c r="AM12" t="s">
        <v>19</v>
      </c>
    </row>
    <row r="13" spans="1:39">
      <c r="C13" s="9" t="s">
        <v>47</v>
      </c>
      <c r="D13" s="9"/>
      <c r="AD13" s="10">
        <v>2025</v>
      </c>
      <c r="AF13">
        <v>2021</v>
      </c>
      <c r="AM13" t="s">
        <v>20</v>
      </c>
    </row>
    <row r="14" spans="1:39">
      <c r="C14" s="9" t="s">
        <v>48</v>
      </c>
      <c r="D14" s="9"/>
      <c r="AD14" s="10">
        <v>2026</v>
      </c>
      <c r="AF14">
        <v>2022</v>
      </c>
      <c r="AM14" t="s">
        <v>21</v>
      </c>
    </row>
    <row r="15" spans="1:39">
      <c r="C15" s="9" t="s">
        <v>49</v>
      </c>
      <c r="D15" s="9"/>
      <c r="AD15" s="10">
        <v>2027</v>
      </c>
      <c r="AF15">
        <v>2023</v>
      </c>
      <c r="AM15" t="s">
        <v>22</v>
      </c>
    </row>
    <row r="16" spans="1:39">
      <c r="C16" s="9" t="s">
        <v>50</v>
      </c>
      <c r="D16" s="9"/>
      <c r="AD16" s="10">
        <v>2028</v>
      </c>
      <c r="AF16">
        <v>2024</v>
      </c>
      <c r="AM16" t="s">
        <v>5</v>
      </c>
    </row>
    <row r="17" spans="30:39">
      <c r="AD17" s="10">
        <v>2029</v>
      </c>
      <c r="AF17">
        <v>2025</v>
      </c>
      <c r="AM17" t="s">
        <v>23</v>
      </c>
    </row>
    <row r="18" spans="30:39">
      <c r="AD18" s="10">
        <v>2030</v>
      </c>
      <c r="AF18">
        <v>2026</v>
      </c>
      <c r="AM18" t="s">
        <v>25</v>
      </c>
    </row>
    <row r="19" spans="30:39">
      <c r="AD19" s="10">
        <v>2031</v>
      </c>
      <c r="AF19">
        <v>2027</v>
      </c>
      <c r="AM19" t="s">
        <v>24</v>
      </c>
    </row>
    <row r="20" spans="30:39">
      <c r="AD20" s="10">
        <v>2032</v>
      </c>
      <c r="AF20">
        <v>2028</v>
      </c>
      <c r="AM20" t="s">
        <v>11</v>
      </c>
    </row>
    <row r="21" spans="30:39">
      <c r="AD21" s="10">
        <v>2033</v>
      </c>
      <c r="AF21">
        <v>2029</v>
      </c>
      <c r="AM21" t="s">
        <v>11</v>
      </c>
    </row>
    <row r="22" spans="30:39">
      <c r="AD22" s="10">
        <v>2034</v>
      </c>
      <c r="AF22">
        <v>2030</v>
      </c>
      <c r="AM22" t="s">
        <v>11</v>
      </c>
    </row>
    <row r="23" spans="30:39">
      <c r="AD23" s="10">
        <v>2035</v>
      </c>
      <c r="AF23">
        <v>2031</v>
      </c>
      <c r="AM23" t="s">
        <v>11</v>
      </c>
    </row>
    <row r="24" spans="30:39">
      <c r="AD24" s="10">
        <v>2036</v>
      </c>
      <c r="AF24">
        <v>2032</v>
      </c>
    </row>
    <row r="25" spans="30:39">
      <c r="AD25" s="10">
        <v>2037</v>
      </c>
      <c r="AF25">
        <v>2033</v>
      </c>
    </row>
    <row r="26" spans="30:39">
      <c r="AD26" s="10">
        <v>2038</v>
      </c>
      <c r="AF26">
        <v>2034</v>
      </c>
    </row>
    <row r="27" spans="30:39">
      <c r="AD27" s="10">
        <v>2039</v>
      </c>
      <c r="AF27">
        <v>2035</v>
      </c>
    </row>
    <row r="28" spans="30:39">
      <c r="AD28" s="10">
        <v>2040</v>
      </c>
      <c r="AF28">
        <v>2036</v>
      </c>
    </row>
    <row r="29" spans="30:39">
      <c r="AF29">
        <v>2037</v>
      </c>
    </row>
    <row r="30" spans="30:39">
      <c r="AF30">
        <v>2038</v>
      </c>
    </row>
    <row r="31" spans="30:39">
      <c r="AF31">
        <v>2039</v>
      </c>
    </row>
    <row r="32" spans="30:39">
      <c r="AF32">
        <v>2040</v>
      </c>
    </row>
    <row r="33" spans="32:32">
      <c r="AF33">
        <v>2041</v>
      </c>
    </row>
    <row r="34" spans="32:32">
      <c r="AF34">
        <v>2042</v>
      </c>
    </row>
    <row r="35" spans="32:32">
      <c r="AF35">
        <v>2043</v>
      </c>
    </row>
    <row r="36" spans="32:32">
      <c r="AF36">
        <v>2044</v>
      </c>
    </row>
    <row r="37" spans="32:32">
      <c r="AF37">
        <v>2045</v>
      </c>
    </row>
    <row r="38" spans="32:32">
      <c r="AF38">
        <v>2046</v>
      </c>
    </row>
    <row r="39" spans="32:32">
      <c r="AF39">
        <v>2047</v>
      </c>
    </row>
    <row r="40" spans="32:32">
      <c r="AF40">
        <v>2048</v>
      </c>
    </row>
    <row r="41" spans="32:32">
      <c r="AF41">
        <v>2049</v>
      </c>
    </row>
    <row r="42" spans="32:32">
      <c r="AF42">
        <v>2050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58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A13" sqref="A13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6" width="20.28515625" customWidth="1"/>
    <col min="7" max="7" width="11.5703125" customWidth="1"/>
    <col min="8" max="8" width="22.42578125" customWidth="1"/>
    <col min="9" max="9" width="11.5703125" customWidth="1"/>
    <col min="10" max="10" width="15.85546875" customWidth="1"/>
    <col min="11" max="13" width="11.5703125" customWidth="1"/>
    <col min="14" max="14" width="7" customWidth="1"/>
    <col min="15" max="15" width="8.140625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60">
      <c r="A1" t="s">
        <v>79</v>
      </c>
      <c r="B1" t="str" cm="1">
        <f t="array" aca="1" ref="B1" ca="1">LEFT(CELL("filename",A1),FIND("[",CELL("filename",A1))-1)</f>
        <v>C:\Models\KENTIMGE\</v>
      </c>
      <c r="J1" s="14" t="s">
        <v>72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60">
      <c r="J2" s="14" t="s">
        <v>73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60">
      <c r="J3" s="14" t="s">
        <v>74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60">
      <c r="J4" s="14" t="s">
        <v>75</v>
      </c>
      <c r="K4">
        <v>1</v>
      </c>
      <c r="L4">
        <v>1</v>
      </c>
      <c r="M4">
        <v>3</v>
      </c>
      <c r="N4">
        <v>3</v>
      </c>
      <c r="O4">
        <v>3</v>
      </c>
      <c r="T4" t="e">
        <f>RIGHT(#REF!,1)</f>
        <v>#REF!</v>
      </c>
      <c r="U4">
        <v>4.4793989999999999</v>
      </c>
    </row>
    <row r="5" spans="1:60" ht="45">
      <c r="A5" t="s">
        <v>97</v>
      </c>
      <c r="G5" s="6" t="s">
        <v>58</v>
      </c>
      <c r="H5" s="7"/>
      <c r="I5" s="7"/>
      <c r="J5" s="14" t="s">
        <v>102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105</v>
      </c>
      <c r="U5">
        <v>100</v>
      </c>
      <c r="AZ5" t="s">
        <v>89</v>
      </c>
    </row>
    <row r="6" spans="1:60">
      <c r="A6" s="4">
        <f>SUM(A10:A65)</f>
        <v>4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1</v>
      </c>
      <c r="H6" s="3"/>
      <c r="I6" s="3"/>
      <c r="J6" s="14" t="s">
        <v>103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19" t="s">
        <v>26</v>
      </c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Y6">
        <f>SUM(AY10:AY44)</f>
        <v>0</v>
      </c>
    </row>
    <row r="7" spans="1:60">
      <c r="A7" s="4"/>
      <c r="B7" s="13"/>
      <c r="D7" s="7"/>
      <c r="E7" s="3"/>
      <c r="F7" s="3"/>
      <c r="H7" s="3"/>
      <c r="I7" s="3"/>
      <c r="J7" s="14" t="s">
        <v>104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60">
      <c r="A8" s="4"/>
      <c r="B8" s="13"/>
      <c r="D8" s="7"/>
      <c r="E8" s="3"/>
      <c r="F8" s="3"/>
      <c r="H8" s="3"/>
      <c r="I8" s="3"/>
      <c r="J8" s="14" t="s">
        <v>101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60" ht="45">
      <c r="A9" s="5" t="s">
        <v>9</v>
      </c>
      <c r="B9" s="2" t="s">
        <v>34</v>
      </c>
      <c r="C9" s="2" t="s">
        <v>107</v>
      </c>
      <c r="D9" s="2" t="s">
        <v>28</v>
      </c>
      <c r="E9" s="2" t="s">
        <v>129</v>
      </c>
      <c r="F9" s="2" t="s">
        <v>33</v>
      </c>
      <c r="G9" s="6" t="s">
        <v>13</v>
      </c>
      <c r="H9" s="6" t="s">
        <v>76</v>
      </c>
      <c r="I9" s="6" t="s">
        <v>35</v>
      </c>
      <c r="J9" s="6" t="s">
        <v>36</v>
      </c>
      <c r="K9" s="6" t="s">
        <v>63</v>
      </c>
      <c r="L9" s="6" t="s">
        <v>64</v>
      </c>
      <c r="M9" s="6" t="s">
        <v>65</v>
      </c>
      <c r="N9" s="6" t="s">
        <v>67</v>
      </c>
      <c r="O9" s="6" t="s">
        <v>66</v>
      </c>
      <c r="P9" s="6" t="s">
        <v>12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98</v>
      </c>
      <c r="AZ9" t="s">
        <v>90</v>
      </c>
      <c r="BA9" t="s">
        <v>91</v>
      </c>
      <c r="BB9" t="s">
        <v>92</v>
      </c>
      <c r="BC9" t="s">
        <v>93</v>
      </c>
      <c r="BD9" t="s">
        <v>94</v>
      </c>
      <c r="BE9" t="s">
        <v>95</v>
      </c>
      <c r="BF9" t="s">
        <v>96</v>
      </c>
      <c r="BG9" t="s">
        <v>99</v>
      </c>
      <c r="BH9" t="s">
        <v>100</v>
      </c>
    </row>
    <row r="10" spans="1:60">
      <c r="A10" s="17">
        <v>1</v>
      </c>
      <c r="B10" t="s">
        <v>146</v>
      </c>
      <c r="C10" t="s">
        <v>77</v>
      </c>
      <c r="D10" t="s">
        <v>29</v>
      </c>
      <c r="E10" t="s">
        <v>140</v>
      </c>
      <c r="F10">
        <v>0</v>
      </c>
      <c r="G10">
        <v>1</v>
      </c>
      <c r="H10" t="s">
        <v>72</v>
      </c>
      <c r="I10">
        <v>0</v>
      </c>
      <c r="J10">
        <v>0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  <c r="AZ10">
        <v>1</v>
      </c>
      <c r="BA10">
        <v>1</v>
      </c>
      <c r="BB10">
        <v>1</v>
      </c>
      <c r="BD10">
        <v>1</v>
      </c>
      <c r="BE10">
        <v>1</v>
      </c>
      <c r="BH10">
        <v>1</v>
      </c>
    </row>
    <row r="11" spans="1:60">
      <c r="A11" s="17">
        <v>1</v>
      </c>
      <c r="B11" t="s">
        <v>145</v>
      </c>
      <c r="C11" t="s">
        <v>77</v>
      </c>
      <c r="D11" t="s">
        <v>29</v>
      </c>
      <c r="E11" t="s">
        <v>141</v>
      </c>
      <c r="F11">
        <v>0</v>
      </c>
      <c r="G11">
        <v>1</v>
      </c>
      <c r="H11" t="s">
        <v>72</v>
      </c>
      <c r="I11">
        <v>0</v>
      </c>
      <c r="J11">
        <v>0</v>
      </c>
      <c r="K11">
        <v>-1</v>
      </c>
      <c r="L11">
        <v>-1</v>
      </c>
      <c r="M11">
        <v>-1</v>
      </c>
      <c r="N11">
        <v>1</v>
      </c>
      <c r="O11">
        <v>-1</v>
      </c>
      <c r="P11">
        <v>100</v>
      </c>
      <c r="AY11">
        <v>0</v>
      </c>
      <c r="AZ11">
        <v>1</v>
      </c>
      <c r="BA11">
        <v>1</v>
      </c>
      <c r="BB11">
        <v>1</v>
      </c>
      <c r="BD11">
        <v>1</v>
      </c>
      <c r="BE11">
        <v>1</v>
      </c>
      <c r="BH11">
        <v>1</v>
      </c>
    </row>
    <row r="12" spans="1:60">
      <c r="A12" s="17">
        <v>1</v>
      </c>
      <c r="B12" t="s">
        <v>142</v>
      </c>
      <c r="C12" t="s">
        <v>77</v>
      </c>
      <c r="D12" t="s">
        <v>29</v>
      </c>
      <c r="E12" t="s">
        <v>143</v>
      </c>
      <c r="F12">
        <v>0</v>
      </c>
      <c r="G12">
        <v>1</v>
      </c>
      <c r="H12" t="s">
        <v>72</v>
      </c>
      <c r="I12">
        <v>0</v>
      </c>
      <c r="J12">
        <v>0</v>
      </c>
      <c r="K12">
        <v>-1</v>
      </c>
      <c r="L12">
        <v>-1</v>
      </c>
      <c r="M12">
        <v>-1</v>
      </c>
      <c r="N12">
        <v>1</v>
      </c>
      <c r="O12">
        <v>-1</v>
      </c>
      <c r="P12">
        <v>100</v>
      </c>
      <c r="AY12">
        <v>0</v>
      </c>
      <c r="AZ12">
        <v>1</v>
      </c>
      <c r="BA12">
        <v>1</v>
      </c>
      <c r="BB12">
        <v>1</v>
      </c>
      <c r="BD12">
        <v>1</v>
      </c>
      <c r="BE12">
        <v>1</v>
      </c>
      <c r="BH12">
        <v>1</v>
      </c>
    </row>
    <row r="13" spans="1:60">
      <c r="A13" s="17">
        <v>1</v>
      </c>
      <c r="B13" t="s">
        <v>144</v>
      </c>
      <c r="C13" t="s">
        <v>77</v>
      </c>
      <c r="D13" t="s">
        <v>29</v>
      </c>
      <c r="E13" t="s">
        <v>147</v>
      </c>
      <c r="F13">
        <v>0</v>
      </c>
      <c r="G13">
        <v>1</v>
      </c>
      <c r="H13" t="s">
        <v>72</v>
      </c>
      <c r="I13">
        <v>0</v>
      </c>
      <c r="J13">
        <v>0</v>
      </c>
      <c r="K13">
        <v>-1</v>
      </c>
      <c r="L13">
        <v>-1</v>
      </c>
      <c r="M13">
        <v>-1</v>
      </c>
      <c r="N13">
        <v>1</v>
      </c>
      <c r="O13">
        <v>-1</v>
      </c>
      <c r="P13">
        <v>100</v>
      </c>
      <c r="AY13">
        <v>0</v>
      </c>
      <c r="AZ13">
        <v>1</v>
      </c>
      <c r="BA13">
        <v>1</v>
      </c>
      <c r="BB13">
        <v>1</v>
      </c>
      <c r="BD13">
        <v>1</v>
      </c>
      <c r="BE13">
        <v>1</v>
      </c>
      <c r="BH13">
        <v>1</v>
      </c>
    </row>
    <row r="14" spans="1:60">
      <c r="A14" s="17"/>
    </row>
    <row r="15" spans="1:60">
      <c r="A15" s="17"/>
    </row>
    <row r="16" spans="1:60">
      <c r="A16" s="17"/>
    </row>
    <row r="17" spans="1:1">
      <c r="A17" s="17"/>
    </row>
    <row r="18" spans="1:1">
      <c r="A18" s="17"/>
    </row>
    <row r="19" spans="1:1">
      <c r="A19" s="17"/>
    </row>
    <row r="20" spans="1:1" ht="14.25" customHeight="1">
      <c r="A20" s="17"/>
    </row>
    <row r="21" spans="1:1" ht="16.5" customHeight="1">
      <c r="A21" s="17"/>
    </row>
    <row r="22" spans="1:1" ht="17.25" customHeight="1">
      <c r="A22" s="17"/>
    </row>
    <row r="23" spans="1:1">
      <c r="A23" s="17"/>
    </row>
    <row r="24" spans="1:1">
      <c r="A24" s="17"/>
    </row>
    <row r="25" spans="1:1">
      <c r="A25" s="17"/>
    </row>
    <row r="26" spans="1:1">
      <c r="A26" s="17"/>
    </row>
    <row r="27" spans="1:1">
      <c r="A27" s="17"/>
    </row>
    <row r="28" spans="1:1">
      <c r="A28" s="17"/>
    </row>
    <row r="29" spans="1:1">
      <c r="A29" s="17"/>
    </row>
    <row r="30" spans="1:1">
      <c r="A30" s="17"/>
    </row>
    <row r="31" spans="1:1">
      <c r="A31" s="17"/>
    </row>
    <row r="32" spans="1:1">
      <c r="A32" s="17"/>
    </row>
    <row r="33" spans="1:4">
      <c r="A33" s="17"/>
    </row>
    <row r="34" spans="1:4">
      <c r="A34" s="17"/>
    </row>
    <row r="35" spans="1:4">
      <c r="A35" s="17"/>
    </row>
    <row r="36" spans="1:4">
      <c r="A36" s="17"/>
    </row>
    <row r="37" spans="1:4">
      <c r="A37" s="17"/>
    </row>
    <row r="38" spans="1:4">
      <c r="A38" s="17"/>
    </row>
    <row r="39" spans="1:4">
      <c r="A39" s="17"/>
    </row>
    <row r="40" spans="1:4">
      <c r="A40" s="17"/>
    </row>
    <row r="41" spans="1:4">
      <c r="A41" s="17"/>
    </row>
    <row r="42" spans="1:4">
      <c r="A42" s="17"/>
    </row>
    <row r="43" spans="1:4">
      <c r="A43" s="17"/>
    </row>
    <row r="44" spans="1:4">
      <c r="A44" s="17"/>
    </row>
    <row r="45" spans="1:4">
      <c r="A45" s="17"/>
    </row>
    <row r="46" spans="1:4">
      <c r="A46" s="17"/>
    </row>
    <row r="47" spans="1:4">
      <c r="A47" s="17"/>
    </row>
    <row r="48" spans="1:4">
      <c r="A48" s="17"/>
    </row>
    <row r="49" spans="1:1">
      <c r="A49" s="17"/>
    </row>
    <row r="50" spans="1:1">
      <c r="A50" s="17"/>
    </row>
    <row r="51" spans="1:1">
      <c r="A51" s="17"/>
    </row>
    <row r="52" spans="1:1">
      <c r="A52" s="17"/>
    </row>
    <row r="53" spans="1:1">
      <c r="A53" s="17"/>
    </row>
    <row r="54" spans="1:1">
      <c r="A54" s="17"/>
    </row>
    <row r="55" spans="1:1">
      <c r="A55" s="17"/>
    </row>
    <row r="56" spans="1:1">
      <c r="A56" s="17"/>
    </row>
    <row r="57" spans="1:1">
      <c r="A57" s="17"/>
    </row>
    <row r="58" spans="1:1">
      <c r="A58" s="17"/>
    </row>
  </sheetData>
  <autoFilter ref="A9:BH44" xr:uid="{00000000-0001-0000-0E00-000000000000}"/>
  <sortState xmlns:xlrd2="http://schemas.microsoft.com/office/spreadsheetml/2017/richdata2" ref="A10:BH44">
    <sortCondition ref="B10:B44"/>
  </sortState>
  <mergeCells count="1">
    <mergeCell ref="R6:AE6"/>
  </mergeCells>
  <phoneticPr fontId="34" type="noConversion"/>
  <conditionalFormatting sqref="A45:A1048576 A1:A9">
    <cfRule type="iconSet" priority="763">
      <iconSet>
        <cfvo type="percent" val="0"/>
        <cfvo type="percent" val="33"/>
        <cfvo type="percent" val="67"/>
      </iconSet>
    </cfRule>
  </conditionalFormatting>
  <conditionalFormatting sqref="A40 A43">
    <cfRule type="iconSet" priority="44">
      <iconSet>
        <cfvo type="percent" val="0"/>
        <cfvo type="percent" val="33"/>
        <cfvo type="percent" val="67"/>
      </iconSet>
    </cfRule>
  </conditionalFormatting>
  <conditionalFormatting sqref="A41 A44">
    <cfRule type="iconSet" priority="38">
      <iconSet>
        <cfvo type="percent" val="0"/>
        <cfvo type="percent" val="33"/>
        <cfvo type="percent" val="67"/>
      </iconSet>
    </cfRule>
  </conditionalFormatting>
  <conditionalFormatting sqref="A40:A44">
    <cfRule type="iconSet" priority="32">
      <iconSet>
        <cfvo type="percent" val="0"/>
        <cfvo type="percent" val="33"/>
        <cfvo type="percent" val="67"/>
      </iconSet>
    </cfRule>
  </conditionalFormatting>
  <conditionalFormatting sqref="A40:A44">
    <cfRule type="iconSet" priority="31">
      <iconSet>
        <cfvo type="percent" val="0"/>
        <cfvo type="percent" val="33"/>
        <cfvo type="percent" val="67"/>
      </iconSet>
    </cfRule>
  </conditionalFormatting>
  <conditionalFormatting sqref="A40:A44">
    <cfRule type="iconSet" priority="30">
      <iconSet>
        <cfvo type="percent" val="0"/>
        <cfvo type="percent" val="33"/>
        <cfvo type="percent" val="67"/>
      </iconSet>
    </cfRule>
  </conditionalFormatting>
  <conditionalFormatting sqref="A40:A44">
    <cfRule type="iconSet" priority="29">
      <iconSet>
        <cfvo type="percent" val="0"/>
        <cfvo type="percent" val="33"/>
        <cfvo type="percent" val="67"/>
      </iconSet>
    </cfRule>
  </conditionalFormatting>
  <conditionalFormatting sqref="A40:A44">
    <cfRule type="iconSet" priority="28">
      <iconSet>
        <cfvo type="percent" val="0"/>
        <cfvo type="percent" val="33"/>
        <cfvo type="percent" val="67"/>
      </iconSet>
    </cfRule>
  </conditionalFormatting>
  <conditionalFormatting sqref="A40:A44">
    <cfRule type="iconSet" priority="33">
      <iconSet>
        <cfvo type="percent" val="0"/>
        <cfvo type="percent" val="33"/>
        <cfvo type="percent" val="67"/>
      </iconSet>
    </cfRule>
  </conditionalFormatting>
  <conditionalFormatting sqref="A10:A58">
    <cfRule type="iconSet" priority="895">
      <iconSet>
        <cfvo type="percent" val="0"/>
        <cfvo type="percent" val="33"/>
        <cfvo type="percent" val="67"/>
      </iconSet>
    </cfRule>
  </conditionalFormatting>
  <conditionalFormatting sqref="A14:A44">
    <cfRule type="iconSet" priority="897">
      <iconSet>
        <cfvo type="percent" val="0"/>
        <cfvo type="percent" val="33"/>
        <cfvo type="percent" val="67"/>
      </iconSet>
    </cfRule>
  </conditionalFormatting>
  <conditionalFormatting sqref="A10:A44">
    <cfRule type="iconSet" priority="898">
      <iconSet>
        <cfvo type="percent" val="0"/>
        <cfvo type="percent" val="33"/>
        <cfvo type="percent" val="67"/>
      </iconSet>
    </cfRule>
  </conditionalFormatting>
  <conditionalFormatting sqref="A10:A13">
    <cfRule type="iconSet" priority="900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44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D10:D44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I73"/>
  <sheetViews>
    <sheetView topLeftCell="D1" workbookViewId="0">
      <selection activeCell="E25" sqref="E25"/>
    </sheetView>
  </sheetViews>
  <sheetFormatPr defaultRowHeight="15"/>
  <cols>
    <col min="3" max="3" width="68.140625" bestFit="1" customWidth="1"/>
    <col min="4" max="4" width="9.85546875" customWidth="1"/>
    <col min="5" max="5" width="15.140625" customWidth="1"/>
    <col min="8" max="8" width="56.140625" customWidth="1"/>
    <col min="9" max="9" width="130.28515625" bestFit="1" customWidth="1"/>
  </cols>
  <sheetData>
    <row r="1" spans="3:9">
      <c r="C1" s="2"/>
      <c r="E1" s="2"/>
    </row>
    <row r="2" spans="3:9">
      <c r="C2" s="2"/>
      <c r="E2" t="s">
        <v>119</v>
      </c>
    </row>
    <row r="3" spans="3:9">
      <c r="D3">
        <v>1</v>
      </c>
      <c r="E3" t="s">
        <v>109</v>
      </c>
    </row>
    <row r="4" spans="3:9">
      <c r="D4">
        <v>1</v>
      </c>
      <c r="E4" t="s">
        <v>111</v>
      </c>
      <c r="I4" s="2"/>
    </row>
    <row r="5" spans="3:9">
      <c r="D5">
        <v>1</v>
      </c>
      <c r="E5" t="s">
        <v>132</v>
      </c>
    </row>
    <row r="6" spans="3:9">
      <c r="D6">
        <v>1</v>
      </c>
      <c r="E6" t="s">
        <v>113</v>
      </c>
    </row>
    <row r="7" spans="3:9">
      <c r="D7">
        <v>1</v>
      </c>
      <c r="E7" t="s">
        <v>112</v>
      </c>
    </row>
    <row r="8" spans="3:9">
      <c r="C8" s="2"/>
      <c r="D8">
        <v>1</v>
      </c>
      <c r="E8" t="s">
        <v>114</v>
      </c>
    </row>
    <row r="9" spans="3:9">
      <c r="D9">
        <v>1</v>
      </c>
      <c r="E9" t="s">
        <v>115</v>
      </c>
    </row>
    <row r="10" spans="3:9">
      <c r="C10" s="2"/>
      <c r="D10">
        <v>1</v>
      </c>
      <c r="E10" t="s">
        <v>116</v>
      </c>
    </row>
    <row r="11" spans="3:9">
      <c r="D11">
        <v>1</v>
      </c>
      <c r="E11" t="s">
        <v>117</v>
      </c>
    </row>
    <row r="12" spans="3:9">
      <c r="D12">
        <v>1</v>
      </c>
      <c r="E12" t="s">
        <v>118</v>
      </c>
    </row>
    <row r="13" spans="3:9">
      <c r="C13" s="2"/>
      <c r="D13">
        <v>1</v>
      </c>
      <c r="E13" t="s">
        <v>130</v>
      </c>
    </row>
    <row r="14" spans="3:9">
      <c r="D14">
        <v>1</v>
      </c>
      <c r="E14" t="s">
        <v>131</v>
      </c>
    </row>
    <row r="17" spans="3:9">
      <c r="D17">
        <v>1</v>
      </c>
      <c r="E17" t="s">
        <v>120</v>
      </c>
    </row>
    <row r="18" spans="3:9">
      <c r="E18" t="s">
        <v>110</v>
      </c>
    </row>
    <row r="19" spans="3:9">
      <c r="D19">
        <v>1</v>
      </c>
      <c r="E19" t="s">
        <v>108</v>
      </c>
    </row>
    <row r="20" spans="3:9">
      <c r="D20">
        <v>1</v>
      </c>
      <c r="E20" t="s">
        <v>121</v>
      </c>
    </row>
    <row r="21" spans="3:9">
      <c r="D21">
        <v>1</v>
      </c>
      <c r="E21" t="s">
        <v>122</v>
      </c>
    </row>
    <row r="22" spans="3:9">
      <c r="C22" s="2"/>
      <c r="D22">
        <v>1</v>
      </c>
      <c r="E22" t="s">
        <v>123</v>
      </c>
    </row>
    <row r="23" spans="3:9">
      <c r="C23" s="2"/>
    </row>
    <row r="24" spans="3:9">
      <c r="C24" s="2"/>
      <c r="E24" t="s">
        <v>138</v>
      </c>
    </row>
    <row r="25" spans="3:9">
      <c r="C25" s="2"/>
    </row>
    <row r="27" spans="3:9">
      <c r="E27" t="s">
        <v>133</v>
      </c>
    </row>
    <row r="28" spans="3:9">
      <c r="I28" s="11"/>
    </row>
    <row r="29" spans="3:9">
      <c r="E29" t="s">
        <v>135</v>
      </c>
    </row>
    <row r="31" spans="3:9">
      <c r="C31" s="2"/>
      <c r="E31" t="s">
        <v>134</v>
      </c>
    </row>
    <row r="32" spans="3:9">
      <c r="E32" t="s">
        <v>136</v>
      </c>
    </row>
    <row r="34" spans="3:5">
      <c r="E34" t="s">
        <v>137</v>
      </c>
    </row>
    <row r="36" spans="3:5">
      <c r="C36" s="2"/>
    </row>
    <row r="41" spans="3:5">
      <c r="C41" s="2"/>
    </row>
    <row r="46" spans="3:5">
      <c r="C46" s="2"/>
    </row>
    <row r="52" spans="3:9">
      <c r="C52" s="2"/>
    </row>
    <row r="53" spans="3:9">
      <c r="I53" s="2"/>
    </row>
    <row r="58" spans="3:9">
      <c r="C58" s="2"/>
    </row>
    <row r="64" spans="3:9">
      <c r="C64" s="2"/>
    </row>
    <row r="69" spans="3:9">
      <c r="C69" s="2"/>
    </row>
    <row r="73" spans="3:9">
      <c r="I7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2023-03-03T11:44:21Z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